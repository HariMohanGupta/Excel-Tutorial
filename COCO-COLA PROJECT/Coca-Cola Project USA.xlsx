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ari\Desktop\NEW_STRAT\Excel\COCO-COLA PROJECT\"/>
    </mc:Choice>
  </mc:AlternateContent>
  <xr:revisionPtr revIDLastSave="0" documentId="13_ncr:1_{5A2FA69E-FBE8-4522-B69E-F6B7F338B390}" xr6:coauthVersionLast="47" xr6:coauthVersionMax="47" xr10:uidLastSave="{00000000-0000-0000-0000-000000000000}"/>
  <bookViews>
    <workbookView xWindow="-120" yWindow="-120" windowWidth="20730" windowHeight="11040" activeTab="2" xr2:uid="{AA3C1E50-38F1-6644-B051-514CE6CAA6A2}"/>
  </bookViews>
  <sheets>
    <sheet name="Data" sheetId="1" r:id="rId1"/>
    <sheet name="Analyze" sheetId="5" r:id="rId2"/>
    <sheet name="Dashboard" sheetId="6" r:id="rId3"/>
  </sheets>
  <definedNames>
    <definedName name="Slicer_Region">#N/A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7" i="5" l="1"/>
  <c r="G27" i="5"/>
  <c r="H27" i="5"/>
  <c r="F28" i="5"/>
  <c r="G28" i="5"/>
  <c r="H28" i="5"/>
  <c r="F29" i="5"/>
  <c r="G29" i="5"/>
  <c r="H29" i="5"/>
  <c r="E30" i="5"/>
  <c r="F30" i="5"/>
  <c r="G30" i="5"/>
  <c r="H30" i="5"/>
  <c r="F31" i="5"/>
  <c r="G31" i="5"/>
  <c r="H31" i="5"/>
  <c r="F32" i="5"/>
  <c r="G32" i="5"/>
  <c r="H32" i="5"/>
  <c r="F33" i="5"/>
  <c r="G33" i="5"/>
  <c r="H33" i="5"/>
  <c r="H26" i="5"/>
  <c r="F26" i="5"/>
  <c r="G26" i="5"/>
  <c r="E26" i="5"/>
  <c r="I12" i="6"/>
  <c r="J12" i="6"/>
  <c r="K12" i="6"/>
  <c r="I13" i="6"/>
  <c r="J13" i="6"/>
  <c r="K13" i="6"/>
  <c r="I14" i="6"/>
  <c r="J14" i="6"/>
  <c r="K14" i="6"/>
  <c r="I15" i="6"/>
  <c r="J15" i="6"/>
  <c r="K15" i="6"/>
  <c r="I16" i="6"/>
  <c r="J16" i="6"/>
  <c r="K16" i="6"/>
  <c r="I17" i="6"/>
  <c r="J17" i="6"/>
  <c r="K17" i="6"/>
  <c r="H13" i="6"/>
  <c r="H14" i="6"/>
  <c r="H15" i="6"/>
  <c r="H16" i="6"/>
  <c r="H17" i="6"/>
  <c r="H12" i="6"/>
  <c r="C13" i="6"/>
  <c r="D13" i="6"/>
  <c r="E13" i="6"/>
  <c r="C14" i="6"/>
  <c r="D14" i="6"/>
  <c r="E14" i="6"/>
  <c r="C15" i="6"/>
  <c r="D15" i="6"/>
  <c r="E15" i="6"/>
  <c r="C16" i="6"/>
  <c r="D16" i="6"/>
  <c r="E16" i="6"/>
  <c r="C17" i="6"/>
  <c r="D17" i="6"/>
  <c r="E17" i="6"/>
  <c r="D12" i="6"/>
  <c r="E12" i="6"/>
  <c r="C12" i="6"/>
  <c r="F16" i="6" l="1"/>
  <c r="F14" i="6"/>
  <c r="F17" i="6"/>
  <c r="F13" i="6"/>
  <c r="F15" i="6"/>
  <c r="D18" i="6"/>
  <c r="K18" i="6"/>
  <c r="J18" i="6"/>
  <c r="E18" i="6"/>
  <c r="I18" i="6"/>
  <c r="F12" i="6"/>
  <c r="F18" i="6" l="1"/>
</calcChain>
</file>

<file path=xl/sharedStrings.xml><?xml version="1.0" encoding="utf-8"?>
<sst xmlns="http://schemas.openxmlformats.org/spreadsheetml/2006/main" count="48312" uniqueCount="156">
  <si>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</si>
  <si>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</si>
  <si>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</si>
  <si>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</si>
  <si>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</si>
  <si>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</si>
  <si>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</si>
  <si>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</si>
  <si>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</si>
  <si>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</si>
  <si>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</si>
  <si>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</si>
  <si>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</si>
  <si>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</si>
  <si>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</si>
  <si>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</si>
  <si>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</si>
  <si>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</si>
  <si>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</si>
  <si>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</si>
  <si>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</si>
  <si>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</si>
  <si>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</si>
  <si>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</si>
  <si>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</si>
  <si>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</si>
  <si>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</si>
  <si>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</si>
  <si>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</si>
  <si>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</si>
  <si>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</si>
  <si>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</si>
  <si>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</si>
  <si>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</si>
  <si>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</si>
  <si>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</si>
  <si>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</si>
  <si>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</si>
  <si>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</si>
  <si>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</si>
  <si>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</si>
  <si>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</si>
  <si>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</si>
  <si>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</si>
  <si>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</si>
  <si>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</si>
  <si>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</si>
  <si>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</si>
  <si>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</si>
  <si>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</si>
  <si>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</si>
  <si>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</si>
  <si>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</si>
  <si>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</si>
  <si>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</si>
  <si>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</si>
  <si>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</si>
  <si>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</si>
  <si>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</si>
  <si>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</si>
  <si>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</si>
  <si>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</si>
  <si>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</si>
  <si>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</si>
  <si>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</si>
  <si>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</si>
  <si>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</si>
  <si>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</si>
  <si>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</si>
  <si>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</si>
  <si>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</si>
  <si>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</si>
  <si>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</si>
  <si>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</si>
  <si>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</si>
  <si>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</si>
  <si>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</si>
  <si>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</si>
  <si>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</si>
  <si>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</si>
  <si>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</si>
  <si>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</si>
  <si>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</si>
  <si>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</si>
  <si>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</si>
  <si>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</si>
  <si>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</si>
  <si>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</si>
  <si>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</si>
  <si>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</si>
  <si>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</si>
  <si>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</si>
  <si>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</si>
  <si>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</si>
  <si>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</si>
  <si>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</si>
  <si>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</si>
  <si>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</si>
  <si>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</si>
  <si>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</si>
  <si>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</si>
  <si>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</si>
  <si>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</si>
  <si>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</si>
  <si>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</si>
  <si>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</si>
  <si>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</si>
  <si>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</si>
  <si>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</si>
  <si>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</si>
  <si>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</si>
  <si>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</si>
  <si>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</si>
  <si>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</si>
  <si>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</si>
  <si>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</si>
  <si>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</si>
  <si>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</si>
  <si>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</si>
  <si>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</si>
  <si>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</si>
  <si>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</si>
  <si>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</si>
  <si>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</si>
  <si>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</si>
  <si>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</si>
  <si>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</si>
  <si>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</si>
  <si>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</si>
  <si>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</si>
  <si>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</si>
  <si>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</si>
  <si>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Brand</t>
  </si>
  <si>
    <t>Sales 2022</t>
  </si>
  <si>
    <t>Sales 2023</t>
  </si>
  <si>
    <t>Varience</t>
  </si>
  <si>
    <t>Retailers</t>
  </si>
  <si>
    <t>Sales and Operating Profit Margin By Quarter</t>
  </si>
  <si>
    <t>Sum of Total Sales</t>
  </si>
  <si>
    <t>Sum of Units Sold</t>
  </si>
  <si>
    <t>Average of Price per Unit</t>
  </si>
  <si>
    <t>Sum of Operating Profit</t>
  </si>
  <si>
    <t>Row Labels</t>
  </si>
  <si>
    <t>Grand Total</t>
  </si>
  <si>
    <t>Column Labels</t>
  </si>
  <si>
    <t>2022</t>
  </si>
  <si>
    <t>2023</t>
  </si>
  <si>
    <t>Average of Operating Margin</t>
  </si>
  <si>
    <t>Qtr1</t>
  </si>
  <si>
    <t>Qtr2</t>
  </si>
  <si>
    <t>Qtr3</t>
  </si>
  <si>
    <t>Qtr4</t>
  </si>
  <si>
    <t>Years</t>
  </si>
  <si>
    <t>Quarters</t>
  </si>
  <si>
    <t>Total</t>
  </si>
  <si>
    <t>Last Update Jan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</si>
</sst>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0.0"/>
    <numFmt numFmtId="167" formatCode="[$$-409]#,##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rgb="FF073673"/>
        <bgColor indexed="64"/>
      </patternFill>
    </fill>
    <fill>
      <patternFill patternType="solid">
        <fgColor theme="8" tint="0.39997558519241921"/>
        <bgColor indexed="64"/>
      </patternFill>
    </fill>
    <fill>
      <patternFill patternType="solid">
        <fgColor theme="7" tint="0.39997558519241921"/>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4" borderId="0" xfId="0" applyFont="1" applyFill="1" applyAlignment="1">
      <alignment horizontal="centerContinuous"/>
    </xf>
    <xf numFmtId="0" fontId="2" fillId="0" borderId="0" xfId="0" applyFont="1" applyFill="1" applyAlignment="1"/>
    <xf numFmtId="0" fontId="0" fillId="5" borderId="0" xfId="0" applyFill="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5" fillId="6" borderId="2" xfId="0" applyFont="1" applyFill="1" applyBorder="1"/>
    <xf numFmtId="3" fontId="5" fillId="6" borderId="2" xfId="0" applyNumberFormat="1" applyFont="1" applyFill="1" applyBorder="1"/>
    <xf numFmtId="166" fontId="0" fillId="0" borderId="0" xfId="0" applyNumberFormat="1" applyAlignment="1"/>
    <xf numFmtId="166" fontId="5" fillId="6" borderId="2" xfId="0" applyNumberFormat="1" applyFont="1" applyFill="1" applyBorder="1" applyAlignment="1"/>
    <xf numFmtId="167" fontId="0" fillId="0" borderId="0" xfId="0" applyNumberFormat="1"/>
    <xf numFmtId="0" fontId="2" fillId="3" borderId="0" xfId="0" applyFont="1" applyFill="1" applyAlignment="1">
      <alignment horizontal="center" vertical="center"/>
    </xf>
  </cellXfs>
  <cellStyles count="2">
    <cellStyle name="Hyperlink 2" xfId="1" xr:uid="{229837FD-7C70-47AC-B854-CBC5538B0B97}"/>
    <cellStyle name="Normal" xfId="0" builtinId="0"/>
  </cellStyles>
  <dxfs count="21">
    <dxf>
      <numFmt numFmtId="167" formatCode="[$$-409]#,##0.00"/>
    </dxf>
    <dxf>
      <numFmt numFmtId="3" formatCode="#,##0"/>
    </dxf>
    <dxf>
      <numFmt numFmtId="1" formatCode="0"/>
    </dxf>
    <dxf>
      <numFmt numFmtId="3" formatCode="#,##0"/>
    </dxf>
    <dxf>
      <numFmt numFmtId="4" formatCode="#,##0.00"/>
    </dxf>
    <dxf>
      <numFmt numFmtId="2" formatCode="0.0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rgbClr val="073673"/>
            </a:solidFill>
            <a:ln>
              <a:noFill/>
            </a:ln>
            <a:effectLst/>
          </c:spPr>
          <c:invertIfNegative val="0"/>
          <c:cat>
            <c:multiLvlStrRef>
              <c:f>Analyze!$E$26:$F$33</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Analyze!$G$26:$G$33</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8EA9-480E-B01F-C4E1C0D2BE42}"/>
            </c:ext>
          </c:extLst>
        </c:ser>
        <c:dLbls>
          <c:showLegendKey val="0"/>
          <c:showVal val="0"/>
          <c:showCatName val="0"/>
          <c:showSerName val="0"/>
          <c:showPercent val="0"/>
          <c:showBubbleSize val="0"/>
        </c:dLbls>
        <c:gapWidth val="219"/>
        <c:axId val="1781031664"/>
        <c:axId val="1781024592"/>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bg1"/>
              </a:solidFill>
              <a:ln w="9525">
                <a:solidFill>
                  <a:schemeClr val="bg1"/>
                </a:solidFill>
              </a:ln>
              <a:effectLst/>
            </c:spPr>
          </c:marker>
          <c:cat>
            <c:multiLvlStrRef>
              <c:f>Analyze!$E$26:$F$33</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Analyze!$H$26:$H$33</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8EA9-480E-B01F-C4E1C0D2BE42}"/>
            </c:ext>
          </c:extLst>
        </c:ser>
        <c:dLbls>
          <c:showLegendKey val="0"/>
          <c:showVal val="0"/>
          <c:showCatName val="0"/>
          <c:showSerName val="0"/>
          <c:showPercent val="0"/>
          <c:showBubbleSize val="0"/>
        </c:dLbls>
        <c:marker val="1"/>
        <c:smooth val="0"/>
        <c:axId val="1781032080"/>
        <c:axId val="1781025424"/>
      </c:lineChart>
      <c:catAx>
        <c:axId val="178103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24592"/>
        <c:crosses val="autoZero"/>
        <c:auto val="1"/>
        <c:lblAlgn val="ctr"/>
        <c:lblOffset val="100"/>
        <c:noMultiLvlLbl val="0"/>
      </c:catAx>
      <c:valAx>
        <c:axId val="1781024592"/>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31664"/>
        <c:crosses val="autoZero"/>
        <c:crossBetween val="between"/>
      </c:valAx>
      <c:valAx>
        <c:axId val="17810254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32080"/>
        <c:crosses val="max"/>
        <c:crossBetween val="between"/>
      </c:valAx>
      <c:catAx>
        <c:axId val="1781032080"/>
        <c:scaling>
          <c:orientation val="minMax"/>
        </c:scaling>
        <c:delete val="1"/>
        <c:axPos val="b"/>
        <c:numFmt formatCode="General" sourceLinked="1"/>
        <c:majorTickMark val="out"/>
        <c:minorTickMark val="none"/>
        <c:tickLblPos val="nextTo"/>
        <c:crossAx val="1781025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404944</xdr:colOff>
      <xdr:row>0</xdr:row>
      <xdr:rowOff>81503</xdr:rowOff>
    </xdr:from>
    <xdr:to>
      <xdr:col>10</xdr:col>
      <xdr:colOff>762000</xdr:colOff>
      <xdr:row>4</xdr:row>
      <xdr:rowOff>114301</xdr:rowOff>
    </xdr:to>
    <xdr:sp macro="" textlink="">
      <xdr:nvSpPr>
        <xdr:cNvPr id="2" name="Rectangle: Rounded Corners 1">
          <a:extLst>
            <a:ext uri="{FF2B5EF4-FFF2-40B4-BE49-F238E27FC236}">
              <a16:creationId xmlns:a16="http://schemas.microsoft.com/office/drawing/2014/main" id="{6D6CBAFE-D136-479A-84B0-A3B828F741D6}"/>
            </a:ext>
          </a:extLst>
        </xdr:cNvPr>
        <xdr:cNvSpPr/>
      </xdr:nvSpPr>
      <xdr:spPr>
        <a:xfrm>
          <a:off x="2452819" y="81503"/>
          <a:ext cx="6891206" cy="832898"/>
        </a:xfrm>
        <a:prstGeom prst="roundRect">
          <a:avLst/>
        </a:prstGeom>
        <a:solidFill>
          <a:schemeClr val="accent1">
            <a:lumMod val="50000"/>
          </a:schemeClr>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Coca - Cola USA Retailer DASHBOARD</a:t>
          </a:r>
        </a:p>
        <a:p>
          <a:pPr algn="l"/>
          <a:r>
            <a:rPr lang="en-IN" sz="1400" b="1">
              <a:solidFill>
                <a:schemeClr val="tx2">
                  <a:lumMod val="40000"/>
                  <a:lumOff val="60000"/>
                </a:schemeClr>
              </a:solidFill>
            </a:rPr>
            <a:t>Figures in USD </a:t>
          </a:r>
        </a:p>
      </xdr:txBody>
    </xdr:sp>
    <xdr:clientData/>
  </xdr:twoCellAnchor>
  <xdr:twoCellAnchor>
    <xdr:from>
      <xdr:col>2</xdr:col>
      <xdr:colOff>157295</xdr:colOff>
      <xdr:row>5</xdr:row>
      <xdr:rowOff>43402</xdr:rowOff>
    </xdr:from>
    <xdr:to>
      <xdr:col>3</xdr:col>
      <xdr:colOff>752475</xdr:colOff>
      <xdr:row>8</xdr:row>
      <xdr:rowOff>114300</xdr:rowOff>
    </xdr:to>
    <xdr:sp macro="" textlink="">
      <xdr:nvSpPr>
        <xdr:cNvPr id="3" name="Rectangle: Rounded Corners 2">
          <a:extLst>
            <a:ext uri="{FF2B5EF4-FFF2-40B4-BE49-F238E27FC236}">
              <a16:creationId xmlns:a16="http://schemas.microsoft.com/office/drawing/2014/main" id="{1A11AFCA-1926-49E1-9512-B4E325ADDA62}"/>
            </a:ext>
          </a:extLst>
        </xdr:cNvPr>
        <xdr:cNvSpPr/>
      </xdr:nvSpPr>
      <xdr:spPr>
        <a:xfrm>
          <a:off x="2614745" y="1043527"/>
          <a:ext cx="1452430" cy="470948"/>
        </a:xfrm>
        <a:prstGeom prst="roundRect">
          <a:avLst/>
        </a:prstGeom>
        <a:solidFill>
          <a:schemeClr val="accent1">
            <a:lumMod val="50000"/>
          </a:schemeClr>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Total Sales</a:t>
          </a:r>
        </a:p>
      </xdr:txBody>
    </xdr:sp>
    <xdr:clientData/>
  </xdr:twoCellAnchor>
  <xdr:twoCellAnchor editAs="oneCell">
    <xdr:from>
      <xdr:col>3</xdr:col>
      <xdr:colOff>0</xdr:colOff>
      <xdr:row>13</xdr:row>
      <xdr:rowOff>0</xdr:rowOff>
    </xdr:from>
    <xdr:to>
      <xdr:col>3</xdr:col>
      <xdr:colOff>304800</xdr:colOff>
      <xdr:row>14</xdr:row>
      <xdr:rowOff>104775</xdr:rowOff>
    </xdr:to>
    <xdr:sp macro="" textlink="">
      <xdr:nvSpPr>
        <xdr:cNvPr id="2052" name="AutoShape 4" descr="Coca Cola Logo">
          <a:extLst>
            <a:ext uri="{FF2B5EF4-FFF2-40B4-BE49-F238E27FC236}">
              <a16:creationId xmlns:a16="http://schemas.microsoft.com/office/drawing/2014/main" id="{F5C6412B-59BB-40AE-83B6-A2E2F8DFD296}"/>
            </a:ext>
          </a:extLst>
        </xdr:cNvPr>
        <xdr:cNvSpPr>
          <a:spLocks noChangeAspect="1" noChangeArrowheads="1"/>
        </xdr:cNvSpPr>
      </xdr:nvSpPr>
      <xdr:spPr bwMode="auto">
        <a:xfrm>
          <a:off x="3314700" y="260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219076</xdr:colOff>
      <xdr:row>0</xdr:row>
      <xdr:rowOff>101600</xdr:rowOff>
    </xdr:from>
    <xdr:to>
      <xdr:col>0</xdr:col>
      <xdr:colOff>1743076</xdr:colOff>
      <xdr:row>3</xdr:row>
      <xdr:rowOff>28575</xdr:rowOff>
    </xdr:to>
    <xdr:pic>
      <xdr:nvPicPr>
        <xdr:cNvPr id="18" name="Picture 17" descr="THE NEW COCA-COLA LOGO PNG IN 2025 - eDigital Agency">
          <a:extLst>
            <a:ext uri="{FF2B5EF4-FFF2-40B4-BE49-F238E27FC236}">
              <a16:creationId xmlns:a16="http://schemas.microsoft.com/office/drawing/2014/main" id="{11B666CB-43CC-4213-AE2F-23773DAD2A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6" y="101600"/>
          <a:ext cx="1524000" cy="52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781049</xdr:colOff>
      <xdr:row>1</xdr:row>
      <xdr:rowOff>12531</xdr:rowOff>
    </xdr:from>
    <xdr:to>
      <xdr:col>10</xdr:col>
      <xdr:colOff>533400</xdr:colOff>
      <xdr:row>3</xdr:row>
      <xdr:rowOff>189264</xdr:rowOff>
    </xdr:to>
    <xdr:pic>
      <xdr:nvPicPr>
        <xdr:cNvPr id="19" name="Picture 18">
          <a:extLst>
            <a:ext uri="{FF2B5EF4-FFF2-40B4-BE49-F238E27FC236}">
              <a16:creationId xmlns:a16="http://schemas.microsoft.com/office/drawing/2014/main" id="{CC5A2424-593F-4BCD-86F7-AB0C18463B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9524" y="212556"/>
          <a:ext cx="1485901" cy="576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262070</xdr:colOff>
      <xdr:row>5</xdr:row>
      <xdr:rowOff>24352</xdr:rowOff>
    </xdr:from>
    <xdr:to>
      <xdr:col>6</xdr:col>
      <xdr:colOff>152400</xdr:colOff>
      <xdr:row>8</xdr:row>
      <xdr:rowOff>95250</xdr:rowOff>
    </xdr:to>
    <xdr:sp macro="" textlink="">
      <xdr:nvSpPr>
        <xdr:cNvPr id="10" name="Rectangle: Rounded Corners 9">
          <a:extLst>
            <a:ext uri="{FF2B5EF4-FFF2-40B4-BE49-F238E27FC236}">
              <a16:creationId xmlns:a16="http://schemas.microsoft.com/office/drawing/2014/main" id="{0172C839-9EBA-4510-98F4-958E7E7F35B6}"/>
            </a:ext>
          </a:extLst>
        </xdr:cNvPr>
        <xdr:cNvSpPr/>
      </xdr:nvSpPr>
      <xdr:spPr>
        <a:xfrm>
          <a:off x="4434020" y="1024477"/>
          <a:ext cx="1452430" cy="470948"/>
        </a:xfrm>
        <a:prstGeom prst="roundRect">
          <a:avLst/>
        </a:prstGeom>
        <a:solidFill>
          <a:schemeClr val="accent1">
            <a:lumMod val="50000"/>
          </a:schemeClr>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Unit Sold</a:t>
          </a:r>
        </a:p>
      </xdr:txBody>
    </xdr:sp>
    <xdr:clientData/>
  </xdr:twoCellAnchor>
  <xdr:twoCellAnchor>
    <xdr:from>
      <xdr:col>7</xdr:col>
      <xdr:colOff>157295</xdr:colOff>
      <xdr:row>5</xdr:row>
      <xdr:rowOff>33877</xdr:rowOff>
    </xdr:from>
    <xdr:to>
      <xdr:col>8</xdr:col>
      <xdr:colOff>752475</xdr:colOff>
      <xdr:row>8</xdr:row>
      <xdr:rowOff>104775</xdr:rowOff>
    </xdr:to>
    <xdr:sp macro="" textlink="">
      <xdr:nvSpPr>
        <xdr:cNvPr id="11" name="Rectangle: Rounded Corners 10">
          <a:extLst>
            <a:ext uri="{FF2B5EF4-FFF2-40B4-BE49-F238E27FC236}">
              <a16:creationId xmlns:a16="http://schemas.microsoft.com/office/drawing/2014/main" id="{9EB5598A-1F81-4E35-A1F1-2D81CC3DC691}"/>
            </a:ext>
          </a:extLst>
        </xdr:cNvPr>
        <xdr:cNvSpPr/>
      </xdr:nvSpPr>
      <xdr:spPr>
        <a:xfrm>
          <a:off x="6148520" y="1034002"/>
          <a:ext cx="1452430" cy="670973"/>
        </a:xfrm>
        <a:prstGeom prst="roundRect">
          <a:avLst/>
        </a:prstGeom>
        <a:solidFill>
          <a:schemeClr val="accent1">
            <a:lumMod val="50000"/>
          </a:schemeClr>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1"/>
            <a:t>Average Price </a:t>
          </a:r>
        </a:p>
      </xdr:txBody>
    </xdr:sp>
    <xdr:clientData/>
  </xdr:twoCellAnchor>
  <xdr:twoCellAnchor>
    <xdr:from>
      <xdr:col>9</xdr:col>
      <xdr:colOff>62044</xdr:colOff>
      <xdr:row>5</xdr:row>
      <xdr:rowOff>52927</xdr:rowOff>
    </xdr:from>
    <xdr:to>
      <xdr:col>10</xdr:col>
      <xdr:colOff>714374</xdr:colOff>
      <xdr:row>8</xdr:row>
      <xdr:rowOff>123825</xdr:rowOff>
    </xdr:to>
    <xdr:sp macro="" textlink="">
      <xdr:nvSpPr>
        <xdr:cNvPr id="12" name="Rectangle: Rounded Corners 11">
          <a:extLst>
            <a:ext uri="{FF2B5EF4-FFF2-40B4-BE49-F238E27FC236}">
              <a16:creationId xmlns:a16="http://schemas.microsoft.com/office/drawing/2014/main" id="{C8B2520E-38E0-4760-84E2-33CB7B5AED58}"/>
            </a:ext>
          </a:extLst>
        </xdr:cNvPr>
        <xdr:cNvSpPr/>
      </xdr:nvSpPr>
      <xdr:spPr>
        <a:xfrm>
          <a:off x="7777294" y="1053052"/>
          <a:ext cx="1519105" cy="670973"/>
        </a:xfrm>
        <a:prstGeom prst="roundRect">
          <a:avLst/>
        </a:prstGeom>
        <a:solidFill>
          <a:schemeClr val="accent1">
            <a:lumMod val="50000"/>
          </a:schemeClr>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Operating</a:t>
          </a:r>
          <a:r>
            <a:rPr lang="en-IN" sz="1100" b="1" baseline="0"/>
            <a:t> Profit</a:t>
          </a:r>
          <a:endParaRPr lang="en-IN" sz="1100" b="1"/>
        </a:p>
      </xdr:txBody>
    </xdr:sp>
    <xdr:clientData/>
  </xdr:twoCellAnchor>
  <xdr:twoCellAnchor>
    <xdr:from>
      <xdr:col>2</xdr:col>
      <xdr:colOff>238125</xdr:colOff>
      <xdr:row>6</xdr:row>
      <xdr:rowOff>142875</xdr:rowOff>
    </xdr:from>
    <xdr:to>
      <xdr:col>3</xdr:col>
      <xdr:colOff>676275</xdr:colOff>
      <xdr:row>8</xdr:row>
      <xdr:rowOff>66675</xdr:rowOff>
    </xdr:to>
    <xdr:sp macro="" textlink="Analyze!A2">
      <xdr:nvSpPr>
        <xdr:cNvPr id="7" name="TextBox 6">
          <a:extLst>
            <a:ext uri="{FF2B5EF4-FFF2-40B4-BE49-F238E27FC236}">
              <a16:creationId xmlns:a16="http://schemas.microsoft.com/office/drawing/2014/main" id="{A318D788-EA80-47A9-9813-4160C549C458}"/>
            </a:ext>
          </a:extLst>
        </xdr:cNvPr>
        <xdr:cNvSpPr txBox="1"/>
      </xdr:nvSpPr>
      <xdr:spPr>
        <a:xfrm>
          <a:off x="2695575" y="1343025"/>
          <a:ext cx="12954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4CBB34-C926-4066-9172-0F896D8056BD}" type="TxLink">
            <a:rPr lang="en-US" sz="1800" b="1" i="0" u="none" strike="noStrike">
              <a:solidFill>
                <a:schemeClr val="bg1"/>
              </a:solidFill>
              <a:latin typeface="Calibri"/>
              <a:ea typeface="Calibri"/>
              <a:cs typeface="Calibri"/>
            </a:rPr>
            <a:pPr algn="ctr"/>
            <a:t>1,20,16,665</a:t>
          </a:fld>
          <a:endParaRPr lang="en-IN" sz="1600" b="1">
            <a:solidFill>
              <a:schemeClr val="bg1"/>
            </a:solidFill>
          </a:endParaRPr>
        </a:p>
      </xdr:txBody>
    </xdr:sp>
    <xdr:clientData/>
  </xdr:twoCellAnchor>
  <xdr:twoCellAnchor>
    <xdr:from>
      <xdr:col>4</xdr:col>
      <xdr:colOff>347795</xdr:colOff>
      <xdr:row>6</xdr:row>
      <xdr:rowOff>85725</xdr:rowOff>
    </xdr:from>
    <xdr:to>
      <xdr:col>6</xdr:col>
      <xdr:colOff>81095</xdr:colOff>
      <xdr:row>8</xdr:row>
      <xdr:rowOff>52927</xdr:rowOff>
    </xdr:to>
    <xdr:sp macro="" textlink="Analyze!B2">
      <xdr:nvSpPr>
        <xdr:cNvPr id="14" name="TextBox 13">
          <a:extLst>
            <a:ext uri="{FF2B5EF4-FFF2-40B4-BE49-F238E27FC236}">
              <a16:creationId xmlns:a16="http://schemas.microsoft.com/office/drawing/2014/main" id="{0ECCC4D3-B2E3-42AA-BC4E-8B06A3E541F7}"/>
            </a:ext>
          </a:extLst>
        </xdr:cNvPr>
        <xdr:cNvSpPr txBox="1"/>
      </xdr:nvSpPr>
      <xdr:spPr>
        <a:xfrm>
          <a:off x="4519745" y="1285875"/>
          <a:ext cx="1295400" cy="36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055675-159D-4D61-908C-ACE3F41D909C}" type="TxLink">
            <a:rPr lang="en-US" sz="1800" b="1" i="0" u="none" strike="noStrike">
              <a:solidFill>
                <a:schemeClr val="bg1"/>
              </a:solidFill>
              <a:latin typeface="Calibri"/>
              <a:ea typeface="Calibri"/>
              <a:cs typeface="Calibri"/>
            </a:rPr>
            <a:pPr marL="0" indent="0" algn="ctr"/>
            <a:t>2,47,88,610</a:t>
          </a:fld>
          <a:endParaRPr lang="en-IN" sz="1800" b="1" i="0" u="none" strike="noStrike">
            <a:solidFill>
              <a:schemeClr val="bg1"/>
            </a:solidFill>
            <a:latin typeface="Calibri"/>
            <a:ea typeface="Calibri"/>
            <a:cs typeface="Calibri"/>
          </a:endParaRPr>
        </a:p>
      </xdr:txBody>
    </xdr:sp>
    <xdr:clientData/>
  </xdr:twoCellAnchor>
  <xdr:twoCellAnchor>
    <xdr:from>
      <xdr:col>7</xdr:col>
      <xdr:colOff>223970</xdr:colOff>
      <xdr:row>6</xdr:row>
      <xdr:rowOff>95250</xdr:rowOff>
    </xdr:from>
    <xdr:to>
      <xdr:col>8</xdr:col>
      <xdr:colOff>662120</xdr:colOff>
      <xdr:row>8</xdr:row>
      <xdr:rowOff>43402</xdr:rowOff>
    </xdr:to>
    <xdr:sp macro="" textlink="Analyze!C2">
      <xdr:nvSpPr>
        <xdr:cNvPr id="15" name="TextBox 14">
          <a:extLst>
            <a:ext uri="{FF2B5EF4-FFF2-40B4-BE49-F238E27FC236}">
              <a16:creationId xmlns:a16="http://schemas.microsoft.com/office/drawing/2014/main" id="{7002FE42-D987-4195-8355-CA78CD34CD76}"/>
            </a:ext>
          </a:extLst>
        </xdr:cNvPr>
        <xdr:cNvSpPr txBox="1"/>
      </xdr:nvSpPr>
      <xdr:spPr>
        <a:xfrm>
          <a:off x="6215195" y="1295400"/>
          <a:ext cx="1295400" cy="348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E63654-18BF-4F48-8395-6A6F3F585747}" type="TxLink">
            <a:rPr lang="en-US" sz="1800" b="1" i="0" u="none" strike="noStrike">
              <a:solidFill>
                <a:schemeClr val="bg1"/>
              </a:solidFill>
              <a:latin typeface="Calibri"/>
              <a:ea typeface="Calibri"/>
              <a:cs typeface="Calibri"/>
            </a:rPr>
            <a:pPr marL="0" indent="0" algn="ctr"/>
            <a:t>$0.45</a:t>
          </a:fld>
          <a:endParaRPr lang="en-IN" sz="1800" b="1" i="0" u="none" strike="noStrike">
            <a:solidFill>
              <a:schemeClr val="bg1"/>
            </a:solidFill>
            <a:latin typeface="Calibri"/>
            <a:ea typeface="Calibri"/>
            <a:cs typeface="Calibri"/>
          </a:endParaRPr>
        </a:p>
      </xdr:txBody>
    </xdr:sp>
    <xdr:clientData/>
  </xdr:twoCellAnchor>
  <xdr:twoCellAnchor>
    <xdr:from>
      <xdr:col>9</xdr:col>
      <xdr:colOff>138245</xdr:colOff>
      <xdr:row>6</xdr:row>
      <xdr:rowOff>142875</xdr:rowOff>
    </xdr:from>
    <xdr:to>
      <xdr:col>10</xdr:col>
      <xdr:colOff>566870</xdr:colOff>
      <xdr:row>8</xdr:row>
      <xdr:rowOff>91027</xdr:rowOff>
    </xdr:to>
    <xdr:sp macro="" textlink="Analyze!D2">
      <xdr:nvSpPr>
        <xdr:cNvPr id="16" name="TextBox 15">
          <a:extLst>
            <a:ext uri="{FF2B5EF4-FFF2-40B4-BE49-F238E27FC236}">
              <a16:creationId xmlns:a16="http://schemas.microsoft.com/office/drawing/2014/main" id="{712EAA1B-47FC-4166-BDF4-A98D14F83DF7}"/>
            </a:ext>
          </a:extLst>
        </xdr:cNvPr>
        <xdr:cNvSpPr txBox="1"/>
      </xdr:nvSpPr>
      <xdr:spPr>
        <a:xfrm>
          <a:off x="7853495" y="1343025"/>
          <a:ext cx="1295400" cy="348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8408A9-B6D6-40BB-8978-7AE1542E40B9}" type="TxLink">
            <a:rPr lang="en-US" sz="1800" b="1" i="0" u="none" strike="noStrike">
              <a:solidFill>
                <a:schemeClr val="bg1"/>
              </a:solidFill>
              <a:latin typeface="Calibri"/>
              <a:ea typeface="Calibri"/>
              <a:cs typeface="Calibri"/>
            </a:rPr>
            <a:pPr marL="0" indent="0" algn="ctr"/>
            <a:t>47,22,497</a:t>
          </a:fld>
          <a:endParaRPr lang="en-IN" sz="1800" b="1" i="0" u="none" strike="noStrike">
            <a:solidFill>
              <a:schemeClr val="bg1"/>
            </a:solidFill>
            <a:latin typeface="Calibri"/>
            <a:ea typeface="Calibri"/>
            <a:cs typeface="Calibri"/>
          </a:endParaRPr>
        </a:p>
      </xdr:txBody>
    </xdr:sp>
    <xdr:clientData/>
  </xdr:twoCellAnchor>
  <xdr:twoCellAnchor>
    <xdr:from>
      <xdr:col>2</xdr:col>
      <xdr:colOff>0</xdr:colOff>
      <xdr:row>20</xdr:row>
      <xdr:rowOff>0</xdr:rowOff>
    </xdr:from>
    <xdr:to>
      <xdr:col>10</xdr:col>
      <xdr:colOff>885825</xdr:colOff>
      <xdr:row>30</xdr:row>
      <xdr:rowOff>85725</xdr:rowOff>
    </xdr:to>
    <xdr:graphicFrame macro="">
      <xdr:nvGraphicFramePr>
        <xdr:cNvPr id="17" name="Chart 16">
          <a:extLst>
            <a:ext uri="{FF2B5EF4-FFF2-40B4-BE49-F238E27FC236}">
              <a16:creationId xmlns:a16="http://schemas.microsoft.com/office/drawing/2014/main" id="{19238F41-1D88-4D2A-975E-7B2D8A8A2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3</xdr:row>
      <xdr:rowOff>76201</xdr:rowOff>
    </xdr:from>
    <xdr:to>
      <xdr:col>0</xdr:col>
      <xdr:colOff>1943100</xdr:colOff>
      <xdr:row>12</xdr:row>
      <xdr:rowOff>142876</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4C094B49-B872-4771-8DBA-7161607236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300" y="679451"/>
              <a:ext cx="1828800"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xdr:row>
      <xdr:rowOff>28575</xdr:rowOff>
    </xdr:from>
    <xdr:to>
      <xdr:col>0</xdr:col>
      <xdr:colOff>1943100</xdr:colOff>
      <xdr:row>17</xdr:row>
      <xdr:rowOff>142875</xdr:rowOff>
    </xdr:to>
    <mc:AlternateContent xmlns:mc="http://schemas.openxmlformats.org/markup-compatibility/2006" xmlns:a14="http://schemas.microsoft.com/office/drawing/2010/main">
      <mc:Choice Requires="a14">
        <xdr:graphicFrame macro="">
          <xdr:nvGraphicFramePr>
            <xdr:cNvPr id="21" name="Years">
              <a:extLst>
                <a:ext uri="{FF2B5EF4-FFF2-40B4-BE49-F238E27FC236}">
                  <a16:creationId xmlns:a16="http://schemas.microsoft.com/office/drawing/2014/main" id="{788939E0-B288-439E-AD95-7944CA4C1F2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4300" y="2642658"/>
              <a:ext cx="1828800" cy="918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refreshedDate="45843.932780208335" createdVersion="7" refreshedVersion="7" minRefreshableVersion="3" recordCount="9648" xr:uid="{5697A0F6-C977-4B53-848E-FD906B88F9BF}">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523886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25EFF2-7A28-49A3-9A75-826C9943CFF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D22"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8AB125-87B8-4F40-896B-95291173664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D12" firstHeaderRow="1" firstDataRow="2"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F1D155-ACCD-46CC-ABC1-D720C9552836}"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25:D34" firstHeaderRow="0" firstDataRow="1" firstDataCol="2"/>
  <pivotFields count="14">
    <pivotField compact="0" outline="0" showAll="0" defaultSubtotal="0">
      <items count="6">
        <item x="1"/>
        <item x="0"/>
        <item x="2"/>
        <item x="5"/>
        <item x="3"/>
        <item x="4"/>
      </items>
    </pivotField>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3"/>
    <field x="12"/>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dataField name="Average of Operating Margin"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4AE026-A5C7-4168-BC82-9C1088C17EE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D2" firstHeaderRow="0"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7"/>
    <dataField name="Sum of Operating Profit" fld="10" baseField="0" baseItem="0" numFmtId="3"/>
  </dataFields>
  <formats count="6">
    <format dxfId="5">
      <pivotArea outline="0" collapsedLevelsAreSubtotals="1" fieldPosition="0">
        <references count="1">
          <reference field="4294967294" count="1" selected="0">
            <x v="2"/>
          </reference>
        </references>
      </pivotArea>
    </format>
    <format dxfId="4">
      <pivotArea outline="0" fieldPosition="0">
        <references count="1">
          <reference field="4294967294" count="1">
            <x v="0"/>
          </reference>
        </references>
      </pivotArea>
    </format>
    <format dxfId="3">
      <pivotArea outline="0" collapsedLevelsAreSubtotals="1" fieldPosition="0">
        <references count="1">
          <reference field="4294967294" count="2" selected="0">
            <x v="0"/>
            <x v="1"/>
          </reference>
        </references>
      </pivotArea>
    </format>
    <format dxfId="2">
      <pivotArea outline="0" collapsedLevelsAreSubtotals="1" fieldPosition="0">
        <references count="1">
          <reference field="4294967294" count="1" selected="0">
            <x v="3"/>
          </reference>
        </references>
      </pivotArea>
    </format>
    <format dxfId="1">
      <pivotArea outline="0" fieldPosition="0">
        <references count="1">
          <reference field="4294967294" count="1">
            <x v="3"/>
          </reference>
        </references>
      </pivotArea>
    </format>
    <format dxfId="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144DDA-881D-4D97-978F-30B4B758EB6F}" sourceName="Region">
  <pivotTables>
    <pivotTable tabId="5" name="PivotTable5"/>
    <pivotTable tabId="5" name="PivotTable6"/>
    <pivotTable tabId="5" name="PivotTable1"/>
    <pivotTable tabId="5" name="PivotTable4"/>
  </pivotTables>
  <data>
    <tabular pivotCacheId="1523886663">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4338D38-9118-4A6D-9FC7-80376B507C3C}" sourceName="Years">
  <pivotTables>
    <pivotTable tabId="5" name="PivotTable5"/>
    <pivotTable tabId="5" name="PivotTable4"/>
    <pivotTable tabId="5" name="PivotTable6"/>
    <pivotTable tabId="5" name="PivotTable1"/>
  </pivotTables>
  <data>
    <tabular pivotCacheId="1523886663">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C0C7970-21CD-405C-8451-29FEB308DBF6}" cache="Slicer_Region" caption="Region" rowHeight="257175"/>
  <slicer name="Years" xr10:uid="{CF3CC5FA-D775-4D2C-BC62-7AA5BAF17753}" cache="Slicer_Years" caption="Year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20" dataDxfId="19" tableBorderDxfId="18">
  <autoFilter ref="B4:M9652" xr:uid="{241C6583-A395-494F-B34A-BA98EEB4132C}"/>
  <tableColumns count="12">
    <tableColumn id="1" xr3:uid="{72C602C4-76C4-4A75-933A-FDC9591C1526}" name="Retailer" dataDxfId="17"/>
    <tableColumn id="2" xr3:uid="{725FD838-82AA-427A-9CE2-6C04110A316D}" name="Retailer ID" dataDxfId="16"/>
    <tableColumn id="3" xr3:uid="{9C123582-20EA-467F-A5ED-8224D6001C00}" name="Invoice Date" dataDxfId="15"/>
    <tableColumn id="4" xr3:uid="{134DBAE7-3279-40E6-98D9-CBECFFFB85D5}" name="Region" dataDxfId="14"/>
    <tableColumn id="5" xr3:uid="{C2E2A540-5264-40E1-8C95-F5F8159FEF6D}" name="State" dataDxfId="13"/>
    <tableColumn id="6" xr3:uid="{6DD89386-635C-40C8-9606-F930BAB18D98}" name="City" dataDxfId="12"/>
    <tableColumn id="7" xr3:uid="{79044A14-8C29-4B84-AA06-8282B70BA02E}" name="Beverage Brand" dataDxfId="11"/>
    <tableColumn id="8" xr3:uid="{A75130C6-6732-4DA3-A42A-8ECCD7E66F61}" name="Price per Unit" dataDxfId="10"/>
    <tableColumn id="9" xr3:uid="{3E7FDD09-C8F4-41A0-8B3E-09F0A7E4D8AD}" name="Units Sold" dataDxfId="9"/>
    <tableColumn id="10" xr3:uid="{521D1DF4-DD00-4778-9BB1-91E31DADFF87}" name="Total Sales" dataDxfId="8"/>
    <tableColumn id="11" xr3:uid="{94400550-7002-4F21-A27B-497430EA373F}" name="Operating Profit" dataDxfId="7"/>
    <tableColumn id="12" xr3:uid="{2526BB74-C8C1-4549-9ED9-43B205AA3AC6}" name="Operating Margin"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1" zoomScaleNormal="100" workbookViewId="0">
      <selection activeCell="B4" sqref="B4"/>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1:H34"/>
  <sheetViews>
    <sheetView topLeftCell="A22" workbookViewId="0">
      <selection activeCell="C26" sqref="C26"/>
    </sheetView>
  </sheetViews>
  <sheetFormatPr defaultColWidth="8.75" defaultRowHeight="15.75" x14ac:dyDescent="0.25"/>
  <cols>
    <col min="1" max="1" width="16.625" bestFit="1" customWidth="1"/>
    <col min="2" max="2" width="16.125" bestFit="1" customWidth="1"/>
    <col min="3" max="3" width="22.75" bestFit="1" customWidth="1"/>
    <col min="4" max="4" width="21.75" bestFit="1" customWidth="1"/>
    <col min="5" max="5" width="26.375" bestFit="1" customWidth="1"/>
    <col min="6" max="6" width="21.75" bestFit="1" customWidth="1"/>
    <col min="7" max="7" width="31.375" bestFit="1" customWidth="1"/>
    <col min="8" max="8" width="11" bestFit="1" customWidth="1"/>
    <col min="9" max="9" width="9.625" bestFit="1" customWidth="1"/>
    <col min="10" max="10" width="8.875" bestFit="1" customWidth="1"/>
    <col min="11" max="11" width="7.875" bestFit="1" customWidth="1"/>
    <col min="12" max="12" width="8.875" bestFit="1" customWidth="1"/>
    <col min="13" max="13" width="9.625" bestFit="1" customWidth="1"/>
    <col min="14" max="14" width="8.875" bestFit="1" customWidth="1"/>
    <col min="15" max="15" width="7.875" bestFit="1" customWidth="1"/>
    <col min="16" max="16" width="8.875" bestFit="1" customWidth="1"/>
    <col min="17" max="17" width="9.625" bestFit="1" customWidth="1"/>
    <col min="18" max="18" width="9.875" bestFit="1" customWidth="1"/>
    <col min="19" max="21" width="8.875" bestFit="1" customWidth="1"/>
    <col min="22" max="22" width="9.875" bestFit="1" customWidth="1"/>
    <col min="23" max="25" width="8.875" bestFit="1" customWidth="1"/>
    <col min="26" max="27" width="9.875" bestFit="1" customWidth="1"/>
    <col min="28" max="29" width="8.875" bestFit="1" customWidth="1"/>
    <col min="30" max="30" width="9.875" bestFit="1" customWidth="1"/>
    <col min="31" max="33" width="8.875" bestFit="1" customWidth="1"/>
    <col min="34" max="35" width="9.875" bestFit="1" customWidth="1"/>
    <col min="36" max="36" width="11" bestFit="1" customWidth="1"/>
    <col min="37" max="725" width="10.125" bestFit="1" customWidth="1"/>
    <col min="726" max="726" width="11" bestFit="1" customWidth="1"/>
  </cols>
  <sheetData>
    <row r="1" spans="1:4" x14ac:dyDescent="0.25">
      <c r="A1" t="s">
        <v>138</v>
      </c>
      <c r="B1" t="s">
        <v>139</v>
      </c>
      <c r="C1" t="s">
        <v>140</v>
      </c>
      <c r="D1" t="s">
        <v>141</v>
      </c>
    </row>
    <row r="2" spans="1:4" x14ac:dyDescent="0.25">
      <c r="A2" s="17">
        <v>12016664.999999965</v>
      </c>
      <c r="B2" s="17">
        <v>24788610</v>
      </c>
      <c r="C2" s="22">
        <v>0.45216625207296596</v>
      </c>
      <c r="D2" s="17">
        <v>4722496.7700000061</v>
      </c>
    </row>
    <row r="4" spans="1:4" x14ac:dyDescent="0.25">
      <c r="A4" s="15" t="s">
        <v>138</v>
      </c>
      <c r="B4" s="15" t="s">
        <v>144</v>
      </c>
    </row>
    <row r="5" spans="1:4" x14ac:dyDescent="0.25">
      <c r="A5" s="15" t="s">
        <v>142</v>
      </c>
      <c r="B5" t="s">
        <v>145</v>
      </c>
      <c r="C5" t="s">
        <v>146</v>
      </c>
      <c r="D5" t="s">
        <v>143</v>
      </c>
    </row>
    <row r="6" spans="1:4" x14ac:dyDescent="0.25">
      <c r="A6" s="16" t="s">
        <v>14</v>
      </c>
      <c r="B6" s="14">
        <v>499102.00000000017</v>
      </c>
      <c r="C6" s="14">
        <v>2268974.9000000032</v>
      </c>
      <c r="D6" s="14">
        <v>2768076.9000000032</v>
      </c>
    </row>
    <row r="7" spans="1:4" x14ac:dyDescent="0.25">
      <c r="A7" s="16" t="s">
        <v>19</v>
      </c>
      <c r="B7" s="14">
        <v>469270.69999999984</v>
      </c>
      <c r="C7" s="14">
        <v>1917827.7999999949</v>
      </c>
      <c r="D7" s="14">
        <v>2387098.4999999949</v>
      </c>
    </row>
    <row r="8" spans="1:4" x14ac:dyDescent="0.25">
      <c r="A8" s="16" t="s">
        <v>15</v>
      </c>
      <c r="B8" s="14">
        <v>423758.70000000007</v>
      </c>
      <c r="C8" s="14">
        <v>1633959.3000000005</v>
      </c>
      <c r="D8" s="14">
        <v>2057718.0000000005</v>
      </c>
    </row>
    <row r="9" spans="1:4" x14ac:dyDescent="0.25">
      <c r="A9" s="16" t="s">
        <v>17</v>
      </c>
      <c r="B9" s="14">
        <v>315489.20000000013</v>
      </c>
      <c r="C9" s="14">
        <v>1116062.9000000027</v>
      </c>
      <c r="D9" s="14">
        <v>1431552.1000000029</v>
      </c>
    </row>
    <row r="10" spans="1:4" x14ac:dyDescent="0.25">
      <c r="A10" s="16" t="s">
        <v>18</v>
      </c>
      <c r="B10" s="14">
        <v>349533.89999999997</v>
      </c>
      <c r="C10" s="14">
        <v>1302529.3000000012</v>
      </c>
      <c r="D10" s="14">
        <v>1652063.2000000011</v>
      </c>
    </row>
    <row r="11" spans="1:4" x14ac:dyDescent="0.25">
      <c r="A11" s="16" t="s">
        <v>16</v>
      </c>
      <c r="B11" s="14">
        <v>366577.99999999988</v>
      </c>
      <c r="C11" s="14">
        <v>1353578.2999999986</v>
      </c>
      <c r="D11" s="14">
        <v>1720156.2999999984</v>
      </c>
    </row>
    <row r="12" spans="1:4" x14ac:dyDescent="0.25">
      <c r="A12" s="16" t="s">
        <v>143</v>
      </c>
      <c r="B12" s="14">
        <v>2423732.5</v>
      </c>
      <c r="C12" s="14">
        <v>9592932.5000000019</v>
      </c>
      <c r="D12" s="14">
        <v>12016665.000000002</v>
      </c>
    </row>
    <row r="14" spans="1:4" x14ac:dyDescent="0.25">
      <c r="A14" s="15" t="s">
        <v>138</v>
      </c>
      <c r="B14" s="15" t="s">
        <v>144</v>
      </c>
    </row>
    <row r="15" spans="1:4" x14ac:dyDescent="0.25">
      <c r="A15" s="15" t="s">
        <v>142</v>
      </c>
      <c r="B15" t="s">
        <v>145</v>
      </c>
      <c r="C15" t="s">
        <v>146</v>
      </c>
      <c r="D15" t="s">
        <v>143</v>
      </c>
    </row>
    <row r="16" spans="1:4" x14ac:dyDescent="0.25">
      <c r="A16" s="16" t="s">
        <v>130</v>
      </c>
      <c r="B16" s="14">
        <v>276210</v>
      </c>
      <c r="C16" s="14">
        <v>1009698.7</v>
      </c>
      <c r="D16" s="14">
        <v>1285908.7</v>
      </c>
    </row>
    <row r="17" spans="1:8" x14ac:dyDescent="0.25">
      <c r="A17" s="16" t="s">
        <v>20</v>
      </c>
      <c r="B17" s="14">
        <v>466787.99999999994</v>
      </c>
      <c r="C17" s="14">
        <v>2327606.5000000019</v>
      </c>
      <c r="D17" s="14">
        <v>2794394.5000000019</v>
      </c>
    </row>
    <row r="18" spans="1:8" x14ac:dyDescent="0.25">
      <c r="A18" s="16" t="s">
        <v>127</v>
      </c>
      <c r="B18" s="14">
        <v>161210.1</v>
      </c>
      <c r="C18" s="14">
        <v>2262827.0999999978</v>
      </c>
      <c r="D18" s="14">
        <v>2424037.1999999979</v>
      </c>
    </row>
    <row r="19" spans="1:8" x14ac:dyDescent="0.25">
      <c r="A19" s="16" t="s">
        <v>129</v>
      </c>
      <c r="B19" s="14">
        <v>9250.3000000000011</v>
      </c>
      <c r="C19" s="14">
        <v>1341994.9999999998</v>
      </c>
      <c r="D19" s="14">
        <v>1351245.2999999998</v>
      </c>
    </row>
    <row r="20" spans="1:8" x14ac:dyDescent="0.25">
      <c r="A20" s="16" t="s">
        <v>126</v>
      </c>
      <c r="B20" s="14">
        <v>339912.5</v>
      </c>
      <c r="C20" s="14">
        <v>580211.00000000023</v>
      </c>
      <c r="D20" s="14">
        <v>920123.50000000023</v>
      </c>
    </row>
    <row r="21" spans="1:8" x14ac:dyDescent="0.25">
      <c r="A21" s="16" t="s">
        <v>128</v>
      </c>
      <c r="B21" s="14">
        <v>1170361.5999999996</v>
      </c>
      <c r="C21" s="14">
        <v>2070594.1999999993</v>
      </c>
      <c r="D21" s="14">
        <v>3240955.7999999989</v>
      </c>
    </row>
    <row r="22" spans="1:8" x14ac:dyDescent="0.25">
      <c r="A22" s="16" t="s">
        <v>143</v>
      </c>
      <c r="B22" s="14">
        <v>2423732.4999999995</v>
      </c>
      <c r="C22" s="14">
        <v>9592932.5</v>
      </c>
      <c r="D22" s="14">
        <v>12016665</v>
      </c>
    </row>
    <row r="25" spans="1:8" x14ac:dyDescent="0.25">
      <c r="A25" s="15" t="s">
        <v>152</v>
      </c>
      <c r="B25" s="15" t="s">
        <v>153</v>
      </c>
      <c r="C25" t="s">
        <v>138</v>
      </c>
      <c r="D25" t="s">
        <v>147</v>
      </c>
    </row>
    <row r="26" spans="1:8" x14ac:dyDescent="0.25">
      <c r="A26" t="s">
        <v>145</v>
      </c>
      <c r="B26" t="s">
        <v>148</v>
      </c>
      <c r="C26" s="14">
        <v>692776.09999999986</v>
      </c>
      <c r="D26" s="14">
        <v>0.40174683544303763</v>
      </c>
      <c r="E26" t="str">
        <f>A26</f>
        <v>2022</v>
      </c>
      <c r="F26" t="str">
        <f t="shared" ref="F26:G26" si="0">B26</f>
        <v>Qtr1</v>
      </c>
      <c r="G26">
        <f t="shared" si="0"/>
        <v>692776.09999999986</v>
      </c>
      <c r="H26">
        <f>D26</f>
        <v>0.40174683544303763</v>
      </c>
    </row>
    <row r="27" spans="1:8" x14ac:dyDescent="0.25">
      <c r="B27" t="s">
        <v>149</v>
      </c>
      <c r="C27" s="14">
        <v>644203.89999999932</v>
      </c>
      <c r="D27" s="14">
        <v>0.40000000000000013</v>
      </c>
      <c r="F27" t="str">
        <f t="shared" ref="F27:F33" si="1">B27</f>
        <v>Qtr2</v>
      </c>
      <c r="G27">
        <f t="shared" ref="G27:G33" si="2">C27</f>
        <v>644203.89999999932</v>
      </c>
      <c r="H27">
        <f t="shared" ref="H27:H33" si="3">D27</f>
        <v>0.40000000000000013</v>
      </c>
    </row>
    <row r="28" spans="1:8" x14ac:dyDescent="0.25">
      <c r="B28" t="s">
        <v>150</v>
      </c>
      <c r="C28" s="14">
        <v>719170.39999999979</v>
      </c>
      <c r="D28" s="14">
        <v>0.41026548672566376</v>
      </c>
      <c r="F28" t="str">
        <f t="shared" si="1"/>
        <v>Qtr3</v>
      </c>
      <c r="G28">
        <f t="shared" si="2"/>
        <v>719170.39999999979</v>
      </c>
      <c r="H28">
        <f t="shared" si="3"/>
        <v>0.41026548672566376</v>
      </c>
    </row>
    <row r="29" spans="1:8" x14ac:dyDescent="0.25">
      <c r="B29" t="s">
        <v>151</v>
      </c>
      <c r="C29" s="14">
        <v>367582.10000000015</v>
      </c>
      <c r="D29" s="14">
        <v>0.40243816254416953</v>
      </c>
      <c r="F29" t="str">
        <f t="shared" si="1"/>
        <v>Qtr4</v>
      </c>
      <c r="G29">
        <f t="shared" si="2"/>
        <v>367582.10000000015</v>
      </c>
      <c r="H29">
        <f t="shared" si="3"/>
        <v>0.40243816254416953</v>
      </c>
    </row>
    <row r="30" spans="1:8" x14ac:dyDescent="0.25">
      <c r="A30" t="s">
        <v>146</v>
      </c>
      <c r="B30" t="s">
        <v>148</v>
      </c>
      <c r="C30" s="14">
        <v>1877584.300000001</v>
      </c>
      <c r="D30" s="14">
        <v>0.41657045009784782</v>
      </c>
      <c r="E30" t="str">
        <f t="shared" ref="E30" si="4">A30</f>
        <v>2023</v>
      </c>
      <c r="F30" t="str">
        <f t="shared" si="1"/>
        <v>Qtr1</v>
      </c>
      <c r="G30">
        <f t="shared" si="2"/>
        <v>1877584.300000001</v>
      </c>
      <c r="H30">
        <f t="shared" si="3"/>
        <v>0.41657045009784782</v>
      </c>
    </row>
    <row r="31" spans="1:8" x14ac:dyDescent="0.25">
      <c r="B31" t="s">
        <v>149</v>
      </c>
      <c r="C31" s="14">
        <v>2379424.800000004</v>
      </c>
      <c r="D31" s="14">
        <v>0.42755819477434692</v>
      </c>
      <c r="F31" t="str">
        <f t="shared" si="1"/>
        <v>Qtr2</v>
      </c>
      <c r="G31">
        <f t="shared" si="2"/>
        <v>2379424.800000004</v>
      </c>
      <c r="H31">
        <f t="shared" si="3"/>
        <v>0.42755819477434692</v>
      </c>
    </row>
    <row r="32" spans="1:8" x14ac:dyDescent="0.25">
      <c r="B32" t="s">
        <v>150</v>
      </c>
      <c r="C32" s="14">
        <v>2805752.5000000005</v>
      </c>
      <c r="D32" s="14">
        <v>0.4347017045454537</v>
      </c>
      <c r="F32" t="str">
        <f t="shared" si="1"/>
        <v>Qtr3</v>
      </c>
      <c r="G32">
        <f t="shared" si="2"/>
        <v>2805752.5000000005</v>
      </c>
      <c r="H32">
        <f t="shared" si="3"/>
        <v>0.4347017045454537</v>
      </c>
    </row>
    <row r="33" spans="1:8" x14ac:dyDescent="0.25">
      <c r="B33" t="s">
        <v>151</v>
      </c>
      <c r="C33" s="14">
        <v>2530170.899999999</v>
      </c>
      <c r="D33" s="14">
        <v>0.42483932853717082</v>
      </c>
      <c r="F33" t="str">
        <f t="shared" si="1"/>
        <v>Qtr4</v>
      </c>
      <c r="G33">
        <f t="shared" si="2"/>
        <v>2530170.899999999</v>
      </c>
      <c r="H33">
        <f t="shared" si="3"/>
        <v>0.42483932853717082</v>
      </c>
    </row>
    <row r="34" spans="1:8" x14ac:dyDescent="0.25">
      <c r="A34" t="s">
        <v>143</v>
      </c>
      <c r="C34" s="14">
        <v>12016664.999999991</v>
      </c>
      <c r="D34" s="14">
        <v>0.42299129353233944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sheetPr>
    <pageSetUpPr fitToPage="1"/>
  </sheetPr>
  <dimension ref="A10:K20"/>
  <sheetViews>
    <sheetView showGridLines="0" tabSelected="1" zoomScale="90" zoomScaleNormal="90" workbookViewId="0">
      <selection activeCell="M7" sqref="M7"/>
    </sheetView>
  </sheetViews>
  <sheetFormatPr defaultColWidth="11.25" defaultRowHeight="15.75" x14ac:dyDescent="0.25"/>
  <cols>
    <col min="1" max="1" width="26.875" style="10" customWidth="1"/>
    <col min="2" max="2" width="5.375" customWidth="1"/>
    <col min="6" max="6" width="9.25" customWidth="1"/>
    <col min="7" max="7" width="3.375" customWidth="1"/>
    <col min="9" max="10" width="11.375" bestFit="1" customWidth="1"/>
    <col min="11" max="11" width="11.875" bestFit="1" customWidth="1"/>
  </cols>
  <sheetData>
    <row r="10" spans="3:11" x14ac:dyDescent="0.25">
      <c r="C10" s="11" t="s">
        <v>131</v>
      </c>
      <c r="D10" s="11"/>
      <c r="E10" s="11"/>
      <c r="F10" s="11"/>
      <c r="G10" s="12"/>
      <c r="H10" s="11" t="s">
        <v>131</v>
      </c>
      <c r="I10" s="11"/>
      <c r="J10" s="11"/>
      <c r="K10" s="11"/>
    </row>
    <row r="11" spans="3:11" x14ac:dyDescent="0.25">
      <c r="C11" s="13" t="s">
        <v>132</v>
      </c>
      <c r="D11" s="13" t="s">
        <v>133</v>
      </c>
      <c r="E11" s="13" t="s">
        <v>134</v>
      </c>
      <c r="F11" s="13" t="s">
        <v>135</v>
      </c>
      <c r="H11" s="13" t="s">
        <v>136</v>
      </c>
      <c r="I11" s="13" t="s">
        <v>133</v>
      </c>
      <c r="J11" s="13" t="s">
        <v>134</v>
      </c>
      <c r="K11" s="13" t="s">
        <v>135</v>
      </c>
    </row>
    <row r="12" spans="3:11" x14ac:dyDescent="0.25">
      <c r="C12" t="str">
        <f>Analyze!A6</f>
        <v>Coca-Cola</v>
      </c>
      <c r="D12" s="17">
        <f>Analyze!B6</f>
        <v>499102.00000000017</v>
      </c>
      <c r="E12" s="17">
        <f>Analyze!C6</f>
        <v>2268974.9000000032</v>
      </c>
      <c r="F12" s="17">
        <f>E12-D12</f>
        <v>1769872.9000000029</v>
      </c>
      <c r="H12" t="str">
        <f>Analyze!A16</f>
        <v>Amazon</v>
      </c>
      <c r="I12" s="20">
        <f>Analyze!B16</f>
        <v>276210</v>
      </c>
      <c r="J12" s="20">
        <f>Analyze!C16</f>
        <v>1009698.7</v>
      </c>
      <c r="K12" s="20">
        <f>Analyze!D16</f>
        <v>1285908.7</v>
      </c>
    </row>
    <row r="13" spans="3:11" x14ac:dyDescent="0.25">
      <c r="C13" t="str">
        <f>Analyze!A7</f>
        <v>Dasani Water</v>
      </c>
      <c r="D13" s="17">
        <f>Analyze!B7</f>
        <v>469270.69999999984</v>
      </c>
      <c r="E13" s="17">
        <f>Analyze!C7</f>
        <v>1917827.7999999949</v>
      </c>
      <c r="F13" s="17">
        <f t="shared" ref="F13:F17" si="0">E13-D13</f>
        <v>1448557.099999995</v>
      </c>
      <c r="H13" t="str">
        <f>Analyze!A17</f>
        <v>BevCo</v>
      </c>
      <c r="I13" s="20">
        <f>Analyze!B17</f>
        <v>466787.99999999994</v>
      </c>
      <c r="J13" s="20">
        <f>Analyze!C17</f>
        <v>2327606.5000000019</v>
      </c>
      <c r="K13" s="20">
        <f>Analyze!D17</f>
        <v>2794394.5000000019</v>
      </c>
    </row>
    <row r="14" spans="3:11" x14ac:dyDescent="0.25">
      <c r="C14" t="str">
        <f>Analyze!A8</f>
        <v>Diet Coke</v>
      </c>
      <c r="D14" s="17">
        <f>Analyze!B8</f>
        <v>423758.70000000007</v>
      </c>
      <c r="E14" s="17">
        <f>Analyze!C8</f>
        <v>1633959.3000000005</v>
      </c>
      <c r="F14" s="17">
        <f t="shared" si="0"/>
        <v>1210200.6000000006</v>
      </c>
      <c r="H14" t="str">
        <f>Analyze!A18</f>
        <v>FizzyCo</v>
      </c>
      <c r="I14" s="20">
        <f>Analyze!B18</f>
        <v>161210.1</v>
      </c>
      <c r="J14" s="20">
        <f>Analyze!C18</f>
        <v>2262827.0999999978</v>
      </c>
      <c r="K14" s="20">
        <f>Analyze!D18</f>
        <v>2424037.1999999979</v>
      </c>
    </row>
    <row r="15" spans="3:11" x14ac:dyDescent="0.25">
      <c r="C15" t="str">
        <f>Analyze!A9</f>
        <v>Fanta</v>
      </c>
      <c r="D15" s="17">
        <f>Analyze!B9</f>
        <v>315489.20000000013</v>
      </c>
      <c r="E15" s="17">
        <f>Analyze!C9</f>
        <v>1116062.9000000027</v>
      </c>
      <c r="F15" s="17">
        <f t="shared" si="0"/>
        <v>800573.70000000251</v>
      </c>
      <c r="H15" t="str">
        <f>Analyze!A19</f>
        <v>Target</v>
      </c>
      <c r="I15" s="20">
        <f>Analyze!B19</f>
        <v>9250.3000000000011</v>
      </c>
      <c r="J15" s="20">
        <f>Analyze!C19</f>
        <v>1341994.9999999998</v>
      </c>
      <c r="K15" s="20">
        <f>Analyze!D19</f>
        <v>1351245.2999999998</v>
      </c>
    </row>
    <row r="16" spans="3:11" x14ac:dyDescent="0.25">
      <c r="C16" t="str">
        <f>Analyze!A10</f>
        <v>Powerade</v>
      </c>
      <c r="D16" s="17">
        <f>Analyze!B10</f>
        <v>349533.89999999997</v>
      </c>
      <c r="E16" s="17">
        <f>Analyze!C10</f>
        <v>1302529.3000000012</v>
      </c>
      <c r="F16" s="17">
        <f t="shared" si="0"/>
        <v>952995.4000000013</v>
      </c>
      <c r="H16" t="str">
        <f>Analyze!A20</f>
        <v>Walmart</v>
      </c>
      <c r="I16" s="20">
        <f>Analyze!B20</f>
        <v>339912.5</v>
      </c>
      <c r="J16" s="20">
        <f>Analyze!C20</f>
        <v>580211.00000000023</v>
      </c>
      <c r="K16" s="20">
        <f>Analyze!D20</f>
        <v>920123.50000000023</v>
      </c>
    </row>
    <row r="17" spans="1:11" x14ac:dyDescent="0.25">
      <c r="C17" t="str">
        <f>Analyze!A11</f>
        <v>Sprite</v>
      </c>
      <c r="D17" s="17">
        <f>Analyze!B11</f>
        <v>366577.99999999988</v>
      </c>
      <c r="E17" s="17">
        <f>Analyze!C11</f>
        <v>1353578.2999999986</v>
      </c>
      <c r="F17" s="17">
        <f t="shared" si="0"/>
        <v>987000.29999999877</v>
      </c>
      <c r="H17" t="str">
        <f>Analyze!A21</f>
        <v>West Soda</v>
      </c>
      <c r="I17" s="20">
        <f>Analyze!B21</f>
        <v>1170361.5999999996</v>
      </c>
      <c r="J17" s="20">
        <f>Analyze!C21</f>
        <v>2070594.1999999993</v>
      </c>
      <c r="K17" s="20">
        <f>Analyze!D21</f>
        <v>3240955.7999999989</v>
      </c>
    </row>
    <row r="18" spans="1:11" x14ac:dyDescent="0.25">
      <c r="C18" s="18" t="s">
        <v>154</v>
      </c>
      <c r="D18" s="19">
        <f>SUM(D12:D17)</f>
        <v>2423732.5</v>
      </c>
      <c r="E18" s="19">
        <f t="shared" ref="E18:F18" si="1">SUM(E12:E17)</f>
        <v>9592932.5000000019</v>
      </c>
      <c r="F18" s="19">
        <f t="shared" si="1"/>
        <v>7169200.0000000009</v>
      </c>
      <c r="H18" s="18" t="s">
        <v>154</v>
      </c>
      <c r="I18" s="21">
        <f>SUM(I12:I17)</f>
        <v>2423732.4999999995</v>
      </c>
      <c r="J18" s="21">
        <f t="shared" ref="J18:K18" si="2">SUM(J12:J17)</f>
        <v>9592932.5</v>
      </c>
      <c r="K18" s="21">
        <f t="shared" si="2"/>
        <v>12016665</v>
      </c>
    </row>
    <row r="19" spans="1:11" x14ac:dyDescent="0.25">
      <c r="A19" s="23" t="s">
        <v>155</v>
      </c>
    </row>
    <row r="20" spans="1:11" x14ac:dyDescent="0.25">
      <c r="C20" s="11" t="s">
        <v>137</v>
      </c>
      <c r="D20" s="11"/>
      <c r="E20" s="11"/>
      <c r="F20" s="11"/>
      <c r="G20" s="11"/>
      <c r="H20" s="11"/>
      <c r="I20" s="11"/>
      <c r="J20" s="11"/>
      <c r="K20" s="11"/>
    </row>
  </sheetData>
  <conditionalFormatting sqref="F12:F17">
    <cfRule type="dataBar" priority="2">
      <dataBar>
        <cfvo type="min"/>
        <cfvo type="max"/>
        <color rgb="FF63C384"/>
      </dataBar>
      <extLst>
        <ext xmlns:x14="http://schemas.microsoft.com/office/spreadsheetml/2009/9/main" uri="{B025F937-C7B1-47D3-B67F-A62EFF666E3E}">
          <x14:id>{E78A34F3-5999-4F3B-B32A-A6D8BFEC670A}</x14:id>
        </ext>
      </extLst>
    </cfRule>
  </conditionalFormatting>
  <conditionalFormatting sqref="K12:K17">
    <cfRule type="dataBar" priority="1">
      <dataBar>
        <cfvo type="min"/>
        <cfvo type="max"/>
        <color rgb="FF63C384"/>
      </dataBar>
      <extLst>
        <ext xmlns:x14="http://schemas.microsoft.com/office/spreadsheetml/2009/9/main" uri="{B025F937-C7B1-47D3-B67F-A62EFF666E3E}">
          <x14:id>{4BED311B-5994-44F6-B60E-41F2C3F31725}</x14:id>
        </ext>
      </extLst>
    </cfRule>
  </conditionalFormatting>
  <pageMargins left="0.70866141732283472" right="0.70866141732283472" top="0.74803149606299213" bottom="0.74803149606299213" header="0.31496062992125984" footer="0.31496062992125984"/>
  <pageSetup paperSize="9" scale="99" orientation="landscape" horizontalDpi="300" verticalDpi="0" r:id="rId1"/>
  <drawing r:id="rId2"/>
  <extLst>
    <ext xmlns:x14="http://schemas.microsoft.com/office/spreadsheetml/2009/9/main" uri="{78C0D931-6437-407d-A8EE-F0AAD7539E65}">
      <x14:conditionalFormattings>
        <x14:conditionalFormatting xmlns:xm="http://schemas.microsoft.com/office/excel/2006/main">
          <x14:cfRule type="dataBar" id="{E78A34F3-5999-4F3B-B32A-A6D8BFEC670A}">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4BED311B-5994-44F6-B60E-41F2C3F31725}">
            <x14:dataBar minLength="0" maxLength="100" border="1" negativeBarBorderColorSameAsPositive="0">
              <x14:cfvo type="autoMin"/>
              <x14:cfvo type="autoMax"/>
              <x14:borderColor rgb="FF63C384"/>
              <x14:negativeFillColor rgb="FFFF0000"/>
              <x14:negativeBorderColor rgb="FFFF0000"/>
              <x14:axisColor rgb="FF000000"/>
            </x14:dataBar>
          </x14:cfRule>
          <xm:sqref>K12:K17</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Hari Gupta</cp:lastModifiedBy>
  <cp:lastPrinted>2025-07-06T09:41:30Z</cp:lastPrinted>
  <dcterms:created xsi:type="dcterms:W3CDTF">2023-12-18T11:08:00Z</dcterms:created>
  <dcterms:modified xsi:type="dcterms:W3CDTF">2025-07-06T09:44:09Z</dcterms:modified>
</cp:coreProperties>
</file>