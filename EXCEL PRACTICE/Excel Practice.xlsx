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xl/comments2.xml" ContentType="application/vnd.openxmlformats-officedocument.spreadsheetml.comments+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3.xml" ContentType="application/vnd.openxmlformats-officedocument.spreadsheetml.comments+xml"/>
  <Override PartName="/xl/tables/table2.xml" ContentType="application/vnd.openxmlformats-officedocument.spreadsheetml.table+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Hari\Desktop\NEW_STRAT\Excel\"/>
    </mc:Choice>
  </mc:AlternateContent>
  <xr:revisionPtr revIDLastSave="0" documentId="13_ncr:1_{7F299401-022D-4D53-80F7-DA29B56368A1}" xr6:coauthVersionLast="47" xr6:coauthVersionMax="47" xr10:uidLastSave="{00000000-0000-0000-0000-000000000000}"/>
  <bookViews>
    <workbookView xWindow="0" yWindow="0" windowWidth="20490" windowHeight="10800" tabRatio="863" xr2:uid="{00000000-000D-0000-FFFF-FFFF00000000}"/>
  </bookViews>
  <sheets>
    <sheet name="Topic" sheetId="1" r:id="rId1"/>
    <sheet name="Sheet1" sheetId="2" r:id="rId2"/>
    <sheet name="PROJECT1" sheetId="3" r:id="rId3"/>
    <sheet name="PROJECT2" sheetId="4" r:id="rId4"/>
    <sheet name="Autofill" sheetId="5" r:id="rId5"/>
    <sheet name="Sheet5" sheetId="6" r:id="rId6"/>
    <sheet name="Chart" sheetId="9" r:id="rId7"/>
    <sheet name="Split" sheetId="8" r:id="rId8"/>
    <sheet name="DROP DOWN" sheetId="7" r:id="rId9"/>
    <sheet name="VLOOKUP" sheetId="10" r:id="rId10"/>
    <sheet name="Sheet11" sheetId="12" r:id="rId11"/>
    <sheet name="Pivot Table" sheetId="11" r:id="rId12"/>
  </sheets>
  <definedNames>
    <definedName name="_xlnm._FilterDatabase" localSheetId="2" hidden="1">PROJECT1!$A$5:$J$10</definedName>
    <definedName name="_xlnm._FilterDatabase" localSheetId="5" hidden="1">Sheet5!$A$1:$K$10</definedName>
    <definedName name="Slicer_Gender">#N/A</definedName>
    <definedName name="Slicer_JobTitle">#N/A</definedName>
  </definedNames>
  <calcPr calcId="191029"/>
  <pivotCaches>
    <pivotCache cacheId="14" r:id="rId13"/>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4"/>
        <x14:slicerCache r:id="rId15"/>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5" i="10" l="1"/>
  <c r="K6" i="10"/>
  <c r="K7" i="10"/>
  <c r="K8" i="10"/>
  <c r="K4" i="10"/>
  <c r="D4" i="4"/>
  <c r="D5" i="4"/>
  <c r="D6" i="4"/>
  <c r="D7" i="4"/>
  <c r="D8" i="4"/>
  <c r="D3" i="4"/>
  <c r="C4" i="4"/>
  <c r="C5" i="4"/>
  <c r="C6" i="4"/>
  <c r="C7" i="4"/>
  <c r="C8" i="4"/>
  <c r="C3" i="4"/>
  <c r="B8" i="4"/>
  <c r="B4" i="4"/>
  <c r="B5" i="4"/>
  <c r="B6" i="4"/>
  <c r="B7" i="4"/>
  <c r="B3" i="4"/>
  <c r="J7" i="3"/>
  <c r="J8" i="3"/>
  <c r="J9" i="3"/>
  <c r="J10" i="3"/>
  <c r="J6" i="3"/>
  <c r="I7" i="3"/>
  <c r="I8" i="3"/>
  <c r="I9" i="3"/>
  <c r="I10" i="3"/>
  <c r="I6" i="3"/>
  <c r="H7" i="3"/>
  <c r="H8" i="3"/>
  <c r="H9" i="3"/>
  <c r="H10" i="3"/>
  <c r="H6"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Hari</author>
  </authors>
  <commentList>
    <comment ref="B5" authorId="0" shapeId="0" xr:uid="{F799B478-253B-488C-B7B1-5C2589BDBC84}">
      <text>
        <r>
          <rPr>
            <b/>
            <sz val="9"/>
            <color indexed="81"/>
            <rFont val="Tahoma"/>
            <charset val="1"/>
          </rPr>
          <t>Hari:</t>
        </r>
        <r>
          <rPr>
            <sz val="9"/>
            <color indexed="81"/>
            <rFont val="Tahoma"/>
            <charset val="1"/>
          </rPr>
          <t xml:space="preserve">
HYPERLINK</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Hari</author>
  </authors>
  <commentList>
    <comment ref="K10" authorId="0" shapeId="0" xr:uid="{0B757949-EEB9-4B5A-96DE-3B7E12A163E0}">
      <text>
        <r>
          <rPr>
            <b/>
            <sz val="9"/>
            <color indexed="81"/>
            <rFont val="Tahoma"/>
            <family val="2"/>
          </rPr>
          <t>Hari:</t>
        </r>
        <r>
          <rPr>
            <sz val="9"/>
            <color indexed="81"/>
            <rFont val="Tahoma"/>
            <family val="2"/>
          </rPr>
          <t xml:space="preserve">
</t>
        </r>
        <r>
          <rPr>
            <b/>
            <sz val="9"/>
            <color indexed="81"/>
            <rFont val="Tahoma"/>
            <family val="2"/>
          </rPr>
          <t>Mail id is not working</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Hari</author>
  </authors>
  <commentList>
    <comment ref="A10" authorId="0" shapeId="0" xr:uid="{1B06CB1E-D3FE-4188-B550-423355F6007B}">
      <text>
        <r>
          <rPr>
            <b/>
            <sz val="9"/>
            <color indexed="81"/>
            <rFont val="Tahoma"/>
            <family val="2"/>
          </rPr>
          <t>Hari:</t>
        </r>
        <r>
          <rPr>
            <sz val="9"/>
            <color indexed="81"/>
            <rFont val="Tahoma"/>
            <family val="2"/>
          </rPr>
          <t xml:space="preserve">
</t>
        </r>
        <r>
          <rPr>
            <b/>
            <sz val="9"/>
            <color indexed="81"/>
            <rFont val="Tahoma"/>
            <family val="2"/>
          </rPr>
          <t>Mail id is not working</t>
        </r>
      </text>
    </comment>
  </commentList>
</comments>
</file>

<file path=xl/sharedStrings.xml><?xml version="1.0" encoding="utf-8"?>
<sst xmlns="http://schemas.openxmlformats.org/spreadsheetml/2006/main" count="338" uniqueCount="191">
  <si>
    <t>Cell: A combined of row and column is called cell.</t>
  </si>
  <si>
    <t>Row: A horzintal line like 1,2, and so on is called row.</t>
  </si>
  <si>
    <t>Column: A vartical line A,B, and so on  is called column.</t>
  </si>
  <si>
    <t>Column</t>
  </si>
  <si>
    <t>Row</t>
  </si>
  <si>
    <t>Cell</t>
  </si>
  <si>
    <t>S.NO</t>
  </si>
  <si>
    <t>First Name</t>
  </si>
  <si>
    <t>Lsat Name</t>
  </si>
  <si>
    <t>DOJ</t>
  </si>
  <si>
    <t>Sal-Jan</t>
  </si>
  <si>
    <t>Sal-Feb</t>
  </si>
  <si>
    <t>Sal-March</t>
  </si>
  <si>
    <t>Sal-Total</t>
  </si>
  <si>
    <t>Avg Sal</t>
  </si>
  <si>
    <t>Full Name</t>
  </si>
  <si>
    <t>RNM</t>
  </si>
  <si>
    <t>GOPAL</t>
  </si>
  <si>
    <t>JOSEPH</t>
  </si>
  <si>
    <t>HARI</t>
  </si>
  <si>
    <t>RAJA</t>
  </si>
  <si>
    <t>KUMAR</t>
  </si>
  <si>
    <t>VARMA</t>
  </si>
  <si>
    <t>PAUL</t>
  </si>
  <si>
    <t>SINGH</t>
  </si>
  <si>
    <t>RAM</t>
  </si>
  <si>
    <t>CTRL + - DELETE THE COLUMN</t>
  </si>
  <si>
    <t>EMPLYEE SALARY DETAILS</t>
  </si>
  <si>
    <t>Numbers</t>
  </si>
  <si>
    <t>Round</t>
  </si>
  <si>
    <t>Round UP</t>
  </si>
  <si>
    <t>ROUND DOWN</t>
  </si>
  <si>
    <t>JANUARY</t>
  </si>
  <si>
    <t>FEBRUARY</t>
  </si>
  <si>
    <t>MARCH</t>
  </si>
  <si>
    <t>APRIL</t>
  </si>
  <si>
    <t>MAY</t>
  </si>
  <si>
    <t>JUNE</t>
  </si>
  <si>
    <t>JULY</t>
  </si>
  <si>
    <t>AUGUST</t>
  </si>
  <si>
    <t>SEPTEMBER</t>
  </si>
  <si>
    <t>OCTOBER</t>
  </si>
  <si>
    <t>NOVEMBER</t>
  </si>
  <si>
    <t>DECEMBER</t>
  </si>
  <si>
    <t>MONDAY</t>
  </si>
  <si>
    <t>TUESDAY</t>
  </si>
  <si>
    <t>WEDNESDAY</t>
  </si>
  <si>
    <t>THURSDAY</t>
  </si>
  <si>
    <t>FRIDAY</t>
  </si>
  <si>
    <t>SATURDAY</t>
  </si>
  <si>
    <t>SUNDAY</t>
  </si>
  <si>
    <t>JAN</t>
  </si>
  <si>
    <t>FEB</t>
  </si>
  <si>
    <t>MAR</t>
  </si>
  <si>
    <t>APR</t>
  </si>
  <si>
    <t>JUN</t>
  </si>
  <si>
    <t>JUL</t>
  </si>
  <si>
    <t>AUG</t>
  </si>
  <si>
    <t>SEP</t>
  </si>
  <si>
    <t>OCT</t>
  </si>
  <si>
    <t>NOV</t>
  </si>
  <si>
    <t>DEC</t>
  </si>
  <si>
    <t>MON</t>
  </si>
  <si>
    <t>TUE</t>
  </si>
  <si>
    <t>WED</t>
  </si>
  <si>
    <t>THU</t>
  </si>
  <si>
    <t>FRI</t>
  </si>
  <si>
    <t>SAT</t>
  </si>
  <si>
    <t>SUN</t>
  </si>
  <si>
    <t>EmployeeID</t>
  </si>
  <si>
    <t>FirstName</t>
  </si>
  <si>
    <t>LastName</t>
  </si>
  <si>
    <t>Age</t>
  </si>
  <si>
    <t>Gender</t>
  </si>
  <si>
    <t>JobTitle</t>
  </si>
  <si>
    <t>Salary</t>
  </si>
  <si>
    <t>StartDate</t>
  </si>
  <si>
    <t>EndDate</t>
  </si>
  <si>
    <t>Email</t>
  </si>
  <si>
    <t>Toby</t>
  </si>
  <si>
    <t>Flenderson</t>
  </si>
  <si>
    <t>Toby Flenderson</t>
  </si>
  <si>
    <t>Male</t>
  </si>
  <si>
    <t>HR</t>
  </si>
  <si>
    <t>5/6/2001</t>
  </si>
  <si>
    <t>8/30/2017</t>
  </si>
  <si>
    <t>Toby.Flenderson@DunderMifflinCorporate.com</t>
  </si>
  <si>
    <t>Michael</t>
  </si>
  <si>
    <t>Scott</t>
  </si>
  <si>
    <t>Michael Scott</t>
  </si>
  <si>
    <t>Regional Manager</t>
  </si>
  <si>
    <t>9/11/2013</t>
  </si>
  <si>
    <t>Michael.Scott@DunderMifflin.com</t>
  </si>
  <si>
    <t>Jim</t>
  </si>
  <si>
    <t>Halpert</t>
  </si>
  <si>
    <t>Jim Halpert</t>
  </si>
  <si>
    <t>Salesman</t>
  </si>
  <si>
    <t>11/2/2001</t>
  </si>
  <si>
    <t>9/6/2015</t>
  </si>
  <si>
    <t>Jim.Halpert@DunderMifflin.com</t>
  </si>
  <si>
    <t>Pam</t>
  </si>
  <si>
    <t>Beasley</t>
  </si>
  <si>
    <t>Pam Beasley</t>
  </si>
  <si>
    <t>Female</t>
  </si>
  <si>
    <t>Receptionist</t>
  </si>
  <si>
    <t>10/3/1999</t>
  </si>
  <si>
    <t>10/10/2015</t>
  </si>
  <si>
    <t>Pam.Beasley@DunderMifflin.com</t>
  </si>
  <si>
    <t>Dwight</t>
  </si>
  <si>
    <t>Schrute</t>
  </si>
  <si>
    <t>Dwight Schrute</t>
  </si>
  <si>
    <t>7/4/2000</t>
  </si>
  <si>
    <t>9/8/2017</t>
  </si>
  <si>
    <t>Dwight.Schrute@AOL.com</t>
  </si>
  <si>
    <t>Angela</t>
  </si>
  <si>
    <t>Martin</t>
  </si>
  <si>
    <t>Angela Martin</t>
  </si>
  <si>
    <t>Accountant</t>
  </si>
  <si>
    <t>1/5/2000</t>
  </si>
  <si>
    <t>12/3/2015</t>
  </si>
  <si>
    <t>Angela.Martin@DunderMifflin.com</t>
  </si>
  <si>
    <t>Meredith</t>
  </si>
  <si>
    <t>Palmer</t>
  </si>
  <si>
    <t>Meredith Palmer</t>
  </si>
  <si>
    <t>Supplier Relations</t>
  </si>
  <si>
    <t>11/8/2003</t>
  </si>
  <si>
    <t>Meredith.Palmer@Yahoo.com</t>
  </si>
  <si>
    <t>Stanley</t>
  </si>
  <si>
    <t>Hudson</t>
  </si>
  <si>
    <t>Stanley Hudson</t>
  </si>
  <si>
    <t>6/9/2002</t>
  </si>
  <si>
    <t>4/22/2015</t>
  </si>
  <si>
    <t>Stanley.Hudson@gmail.com</t>
  </si>
  <si>
    <t>Kevin</t>
  </si>
  <si>
    <t>Malone</t>
  </si>
  <si>
    <t>Kevin Malone</t>
  </si>
  <si>
    <t>8/-10/2003</t>
  </si>
  <si>
    <t>Kevin.Malone@DunderMifflin.com</t>
  </si>
  <si>
    <t>DROP DOWN</t>
  </si>
  <si>
    <t>Stanley.Hudson</t>
  </si>
  <si>
    <t>gmail.com</t>
  </si>
  <si>
    <t>Michael.Scott</t>
  </si>
  <si>
    <t>DunderMifflin.com</t>
  </si>
  <si>
    <t>Toby.Flenderson</t>
  </si>
  <si>
    <t>DunderMifflinCorporate.com</t>
  </si>
  <si>
    <t>Meredith.Palmer</t>
  </si>
  <si>
    <t>Yahoo.com</t>
  </si>
  <si>
    <t>Angela.Martin</t>
  </si>
  <si>
    <t>Kevin.Malone</t>
  </si>
  <si>
    <t>Jim.Halpert</t>
  </si>
  <si>
    <t>Pam.Beasley</t>
  </si>
  <si>
    <t>Dwight.Schrute</t>
  </si>
  <si>
    <t>AOL.com</t>
  </si>
  <si>
    <t>vlookup</t>
  </si>
  <si>
    <t>Name</t>
  </si>
  <si>
    <t>Class</t>
  </si>
  <si>
    <t>Unit Test 1</t>
  </si>
  <si>
    <t>Unit Test 2</t>
  </si>
  <si>
    <t>Final Test</t>
  </si>
  <si>
    <t>Abhimanyu</t>
  </si>
  <si>
    <t>M</t>
  </si>
  <si>
    <t>Vrinda</t>
  </si>
  <si>
    <t>Arjun</t>
  </si>
  <si>
    <t>Gopi</t>
  </si>
  <si>
    <t>Champa</t>
  </si>
  <si>
    <t>F</t>
  </si>
  <si>
    <t>Madhav</t>
  </si>
  <si>
    <t>Gopal</t>
  </si>
  <si>
    <t>Hari</t>
  </si>
  <si>
    <t>Indu</t>
  </si>
  <si>
    <t>Keshav</t>
  </si>
  <si>
    <t>Lalita</t>
  </si>
  <si>
    <t>Sudevi</t>
  </si>
  <si>
    <t>Vidya</t>
  </si>
  <si>
    <t>Visakha</t>
  </si>
  <si>
    <t>Vertical Lookup</t>
  </si>
  <si>
    <t>Agni</t>
  </si>
  <si>
    <t>Bhoomi</t>
  </si>
  <si>
    <t>Vayu</t>
  </si>
  <si>
    <t>Varun</t>
  </si>
  <si>
    <t>Jal</t>
  </si>
  <si>
    <t>Student5</t>
  </si>
  <si>
    <t>Student4</t>
  </si>
  <si>
    <t>Student2</t>
  </si>
  <si>
    <t>Student8</t>
  </si>
  <si>
    <t>Student1</t>
  </si>
  <si>
    <t>Sam</t>
  </si>
  <si>
    <t>House</t>
  </si>
  <si>
    <t>PIVOT TABLE: ANALYSIS,SUMMRIZE, CALCULATE</t>
  </si>
  <si>
    <t>Sum of Final Test</t>
  </si>
  <si>
    <t>HALF YEAR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</si>
</sst>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7" formatCode="0.00000"/>
  </numFmts>
  <fonts count="11" x14ac:knownFonts="1">
    <font>
      <sz val="11"/>
      <color theme="1"/>
      <name val="Calibri"/>
      <family val="2"/>
      <scheme val="minor"/>
    </font>
    <font>
      <b/>
      <sz val="11"/>
      <color theme="1"/>
      <name val="Calibri"/>
      <family val="2"/>
      <scheme val="minor"/>
    </font>
    <font>
      <b/>
      <sz val="11"/>
      <color theme="1"/>
      <name val="Arial Black"/>
      <family val="2"/>
    </font>
    <font>
      <sz val="8"/>
      <name val="Calibri"/>
      <family val="2"/>
      <scheme val="minor"/>
    </font>
    <font>
      <sz val="9"/>
      <color indexed="81"/>
      <name val="Tahoma"/>
      <family val="2"/>
    </font>
    <font>
      <b/>
      <sz val="9"/>
      <color indexed="81"/>
      <name val="Tahoma"/>
      <family val="2"/>
    </font>
    <font>
      <b/>
      <sz val="11"/>
      <color theme="0"/>
      <name val="Calibri"/>
      <family val="2"/>
      <scheme val="minor"/>
    </font>
    <font>
      <sz val="9"/>
      <color indexed="81"/>
      <name val="Tahoma"/>
      <charset val="1"/>
    </font>
    <font>
      <u/>
      <sz val="11"/>
      <color theme="10"/>
      <name val="Calibri"/>
      <family val="2"/>
      <scheme val="minor"/>
    </font>
    <font>
      <b/>
      <sz val="9"/>
      <color indexed="81"/>
      <name val="Tahoma"/>
      <charset val="1"/>
    </font>
    <font>
      <b/>
      <i/>
      <sz val="11"/>
      <color theme="1"/>
      <name val="Calibri"/>
      <family val="2"/>
      <scheme val="minor"/>
    </font>
  </fonts>
  <fills count="7">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5" tint="0.59999389629810485"/>
        <bgColor theme="5" tint="0.59999389629810485"/>
      </patternFill>
    </fill>
    <fill>
      <patternFill patternType="solid">
        <fgColor theme="5" tint="0.79998168889431442"/>
        <bgColor theme="5" tint="0.79998168889431442"/>
      </patternFill>
    </fill>
  </fills>
  <borders count="20">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8" fillId="0" borderId="0" applyNumberFormat="0" applyFill="0" applyBorder="0" applyAlignment="0" applyProtection="0"/>
  </cellStyleXfs>
  <cellXfs count="48">
    <xf numFmtId="0" fontId="0" fillId="0" borderId="0" xfId="0"/>
    <xf numFmtId="0" fontId="0" fillId="2" borderId="0" xfId="0" applyFill="1"/>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xf numFmtId="14" fontId="0" fillId="0" borderId="1" xfId="0" applyNumberFormat="1" applyBorder="1"/>
    <xf numFmtId="0" fontId="1" fillId="3" borderId="1" xfId="0" applyFont="1" applyFill="1" applyBorder="1" applyAlignment="1">
      <alignment horizontal="center" vertical="center"/>
    </xf>
    <xf numFmtId="0" fontId="1" fillId="3" borderId="1" xfId="0" applyFont="1" applyFill="1" applyBorder="1"/>
    <xf numFmtId="1" fontId="0" fillId="0" borderId="1" xfId="0" applyNumberFormat="1" applyBorder="1" applyAlignment="1">
      <alignment horizontal="center" vertical="center"/>
    </xf>
    <xf numFmtId="0" fontId="2" fillId="4" borderId="2" xfId="0" applyFont="1" applyFill="1" applyBorder="1" applyAlignment="1">
      <alignment horizontal="center" vertical="center"/>
    </xf>
    <xf numFmtId="0" fontId="2" fillId="4" borderId="3" xfId="0" applyFont="1" applyFill="1" applyBorder="1" applyAlignment="1">
      <alignment horizontal="center" vertical="center"/>
    </xf>
    <xf numFmtId="0" fontId="2" fillId="4" borderId="4" xfId="0" applyFont="1" applyFill="1" applyBorder="1" applyAlignment="1">
      <alignment horizontal="center" vertical="center"/>
    </xf>
    <xf numFmtId="0" fontId="2" fillId="4" borderId="5" xfId="0" applyFont="1" applyFill="1" applyBorder="1" applyAlignment="1">
      <alignment horizontal="center" vertical="center"/>
    </xf>
    <xf numFmtId="0" fontId="2" fillId="4" borderId="6" xfId="0" applyFont="1" applyFill="1" applyBorder="1" applyAlignment="1">
      <alignment horizontal="center" vertical="center"/>
    </xf>
    <xf numFmtId="0" fontId="2" fillId="4" borderId="7" xfId="0" applyFont="1" applyFill="1" applyBorder="1" applyAlignment="1">
      <alignment horizontal="center" vertical="center"/>
    </xf>
    <xf numFmtId="167" fontId="0" fillId="0" borderId="1" xfId="0" applyNumberFormat="1" applyBorder="1" applyAlignment="1">
      <alignment horizontal="center" vertical="center"/>
    </xf>
    <xf numFmtId="49" fontId="0" fillId="0" borderId="1" xfId="0" applyNumberFormat="1" applyBorder="1" applyAlignment="1">
      <alignment horizontal="center" vertical="center"/>
    </xf>
    <xf numFmtId="0" fontId="0" fillId="4" borderId="1" xfId="0" applyFill="1" applyBorder="1" applyAlignment="1">
      <alignment horizontal="center" vertical="center"/>
    </xf>
    <xf numFmtId="0" fontId="1" fillId="4" borderId="1" xfId="0" applyFont="1" applyFill="1" applyBorder="1" applyAlignment="1">
      <alignment horizontal="center" vertical="center"/>
    </xf>
    <xf numFmtId="0" fontId="0" fillId="0" borderId="8" xfId="0" applyBorder="1" applyAlignment="1">
      <alignment horizontal="center" vertical="center"/>
    </xf>
    <xf numFmtId="0" fontId="1" fillId="4" borderId="10" xfId="0" applyFont="1" applyFill="1" applyBorder="1" applyAlignment="1">
      <alignment horizontal="center" vertical="center"/>
    </xf>
    <xf numFmtId="0" fontId="1" fillId="4" borderId="11" xfId="0" applyFont="1" applyFill="1"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49" fontId="0" fillId="0" borderId="14" xfId="0" applyNumberFormat="1" applyBorder="1" applyAlignment="1">
      <alignment horizontal="center" vertical="center"/>
    </xf>
    <xf numFmtId="0" fontId="1" fillId="4" borderId="12" xfId="0" applyFont="1" applyFill="1" applyBorder="1" applyAlignment="1">
      <alignment horizontal="left" vertical="center"/>
    </xf>
    <xf numFmtId="14" fontId="0" fillId="0" borderId="9" xfId="0" applyNumberFormat="1" applyBorder="1" applyAlignment="1">
      <alignment horizontal="left" vertical="center"/>
    </xf>
    <xf numFmtId="14" fontId="0" fillId="0" borderId="15" xfId="0" applyNumberFormat="1" applyBorder="1" applyAlignment="1">
      <alignment horizontal="left" vertical="center"/>
    </xf>
    <xf numFmtId="0" fontId="0" fillId="0" borderId="0" xfId="0" applyAlignment="1">
      <alignment horizontal="left"/>
    </xf>
    <xf numFmtId="0" fontId="8" fillId="3" borderId="1" xfId="1" applyFill="1" applyBorder="1"/>
    <xf numFmtId="0" fontId="8" fillId="4" borderId="11" xfId="1" applyFill="1" applyBorder="1" applyAlignment="1">
      <alignment horizontal="center" vertical="center"/>
    </xf>
    <xf numFmtId="0" fontId="0" fillId="5" borderId="1" xfId="0" applyFont="1" applyFill="1" applyBorder="1" applyAlignment="1">
      <alignment horizontal="center" vertical="center"/>
    </xf>
    <xf numFmtId="0" fontId="0" fillId="6" borderId="1" xfId="0" applyFont="1" applyFill="1" applyBorder="1" applyAlignment="1">
      <alignment horizontal="center" vertical="center"/>
    </xf>
    <xf numFmtId="0" fontId="0" fillId="4" borderId="1" xfId="0" applyFont="1" applyFill="1" applyBorder="1" applyAlignment="1">
      <alignment horizontal="center" vertical="center"/>
    </xf>
    <xf numFmtId="0" fontId="0" fillId="5" borderId="18" xfId="0" applyFont="1" applyFill="1" applyBorder="1" applyAlignment="1">
      <alignment horizontal="center" vertical="center"/>
    </xf>
    <xf numFmtId="0" fontId="0" fillId="6" borderId="18" xfId="0" applyFont="1" applyFill="1" applyBorder="1" applyAlignment="1">
      <alignment horizontal="center" vertical="center"/>
    </xf>
    <xf numFmtId="0" fontId="0" fillId="4" borderId="18" xfId="0" applyFont="1" applyFill="1" applyBorder="1" applyAlignment="1">
      <alignment horizontal="center" vertical="center"/>
    </xf>
    <xf numFmtId="0" fontId="1" fillId="4" borderId="17" xfId="0" applyFont="1" applyFill="1" applyBorder="1" applyAlignment="1">
      <alignment horizontal="center" vertical="center"/>
    </xf>
    <xf numFmtId="0" fontId="0" fillId="5" borderId="16" xfId="0" applyFont="1" applyFill="1" applyBorder="1" applyAlignment="1">
      <alignment horizontal="center" vertical="center"/>
    </xf>
    <xf numFmtId="0" fontId="6" fillId="4" borderId="1" xfId="0" applyFont="1" applyFill="1" applyBorder="1" applyAlignment="1">
      <alignment horizontal="center" vertical="center"/>
    </xf>
    <xf numFmtId="0" fontId="1" fillId="4" borderId="1" xfId="0" applyFont="1" applyFill="1" applyBorder="1" applyAlignment="1">
      <alignment horizontal="left" vertical="center"/>
    </xf>
    <xf numFmtId="14" fontId="0" fillId="5" borderId="1" xfId="0" applyNumberFormat="1" applyFont="1" applyFill="1" applyBorder="1" applyAlignment="1">
      <alignment horizontal="left" vertical="center"/>
    </xf>
    <xf numFmtId="14" fontId="0" fillId="6" borderId="1" xfId="0" applyNumberFormat="1" applyFont="1" applyFill="1" applyBorder="1" applyAlignment="1">
      <alignment horizontal="left" vertical="center"/>
    </xf>
    <xf numFmtId="0" fontId="1" fillId="4" borderId="1" xfId="0" applyFont="1" applyFill="1" applyBorder="1"/>
    <xf numFmtId="0" fontId="10" fillId="4" borderId="1" xfId="0" applyFont="1" applyFill="1" applyBorder="1"/>
    <xf numFmtId="0" fontId="0" fillId="0" borderId="0" xfId="0" pivotButton="1"/>
    <xf numFmtId="0" fontId="0" fillId="0" borderId="0" xfId="0" applyNumberFormat="1"/>
    <xf numFmtId="0" fontId="1" fillId="4" borderId="19" xfId="0" applyFont="1" applyFill="1" applyBorder="1"/>
  </cellXfs>
  <cellStyles count="2">
    <cellStyle name="Hyperlink" xfId="1" builtinId="8"/>
    <cellStyle name="Normal" xfId="0" builtinId="0"/>
  </cellStyles>
  <dxfs count="26">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strike val="0"/>
        <condense val="0"/>
        <extend val="0"/>
        <outline val="0"/>
        <shadow val="0"/>
        <u val="none"/>
        <vertAlign val="baseline"/>
        <sz val="11"/>
        <color theme="1"/>
        <name val="Calibri"/>
        <family val="2"/>
        <scheme val="minor"/>
      </font>
      <fill>
        <patternFill patternType="solid">
          <fgColor indexed="64"/>
          <bgColor theme="9" tint="0.39997558519241921"/>
        </patternFill>
      </fill>
      <alignment horizontal="center" vertical="center" textRotation="0" wrapText="0" indent="0" justifyLastLine="0" shrinkToFit="0" readingOrder="0"/>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numFmt numFmtId="19" formatCode="dd/mm/yyyy"/>
      <alignment horizontal="left" vertical="center" textRotation="0" wrapText="0" indent="0" justifyLastLine="0" shrinkToFit="0" readingOrder="0"/>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9" tint="0.39997558519241921"/>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Chart!$B$1</c:f>
              <c:strCache>
                <c:ptCount val="1"/>
                <c:pt idx="0">
                  <c:v>Salary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Chart!$A$2:$A$10</c:f>
              <c:strCache>
                <c:ptCount val="9"/>
                <c:pt idx="0">
                  <c:v>Hudson</c:v>
                </c:pt>
                <c:pt idx="1">
                  <c:v>Scott</c:v>
                </c:pt>
                <c:pt idx="2">
                  <c:v>Flenderson</c:v>
                </c:pt>
                <c:pt idx="3">
                  <c:v>Palmer</c:v>
                </c:pt>
                <c:pt idx="4">
                  <c:v>Martin</c:v>
                </c:pt>
                <c:pt idx="5">
                  <c:v>Malone</c:v>
                </c:pt>
                <c:pt idx="6">
                  <c:v>Halpert</c:v>
                </c:pt>
                <c:pt idx="7">
                  <c:v>Beasley</c:v>
                </c:pt>
                <c:pt idx="8">
                  <c:v>Schrute</c:v>
                </c:pt>
              </c:strCache>
            </c:strRef>
          </c:cat>
          <c:val>
            <c:numRef>
              <c:f>Chart!$B$2:$B$10</c:f>
              <c:numCache>
                <c:formatCode>General</c:formatCode>
                <c:ptCount val="9"/>
                <c:pt idx="0">
                  <c:v>55000</c:v>
                </c:pt>
                <c:pt idx="1">
                  <c:v>65000</c:v>
                </c:pt>
                <c:pt idx="2">
                  <c:v>50000</c:v>
                </c:pt>
                <c:pt idx="3">
                  <c:v>41000</c:v>
                </c:pt>
                <c:pt idx="4">
                  <c:v>47000</c:v>
                </c:pt>
                <c:pt idx="5">
                  <c:v>42000</c:v>
                </c:pt>
                <c:pt idx="6">
                  <c:v>45000</c:v>
                </c:pt>
                <c:pt idx="7">
                  <c:v>36000</c:v>
                </c:pt>
                <c:pt idx="8">
                  <c:v>63000</c:v>
                </c:pt>
              </c:numCache>
            </c:numRef>
          </c:val>
          <c:extLst>
            <c:ext xmlns:c16="http://schemas.microsoft.com/office/drawing/2014/chart" uri="{C3380CC4-5D6E-409C-BE32-E72D297353CC}">
              <c16:uniqueId val="{00000000-6E48-4A1C-96F7-FECC64098623}"/>
            </c:ext>
          </c:extLst>
        </c:ser>
        <c:dLbls>
          <c:dLblPos val="outEnd"/>
          <c:showLegendKey val="0"/>
          <c:showVal val="1"/>
          <c:showCatName val="0"/>
          <c:showSerName val="0"/>
          <c:showPercent val="0"/>
          <c:showBubbleSize val="0"/>
        </c:dLbls>
        <c:gapWidth val="219"/>
        <c:overlap val="-27"/>
        <c:axId val="1452109504"/>
        <c:axId val="1452109920"/>
      </c:barChart>
      <c:catAx>
        <c:axId val="1452109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109920"/>
        <c:crosses val="autoZero"/>
        <c:auto val="1"/>
        <c:lblAlgn val="ctr"/>
        <c:lblOffset val="100"/>
        <c:noMultiLvlLbl val="0"/>
      </c:catAx>
      <c:valAx>
        <c:axId val="14521099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1095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152932</xdr:colOff>
      <xdr:row>18</xdr:row>
      <xdr:rowOff>29058</xdr:rowOff>
    </xdr:to>
    <xdr:pic>
      <xdr:nvPicPr>
        <xdr:cNvPr id="2" name="Picture 1">
          <a:extLst>
            <a:ext uri="{FF2B5EF4-FFF2-40B4-BE49-F238E27FC236}">
              <a16:creationId xmlns:a16="http://schemas.microsoft.com/office/drawing/2014/main" id="{B608E981-D4BC-4DBF-83F5-9254810108DB}"/>
            </a:ext>
          </a:extLst>
        </xdr:cNvPr>
        <xdr:cNvPicPr>
          <a:picLocks noChangeAspect="1"/>
        </xdr:cNvPicPr>
      </xdr:nvPicPr>
      <xdr:blipFill>
        <a:blip xmlns:r="http://schemas.openxmlformats.org/officeDocument/2006/relationships" r:embed="rId1"/>
        <a:stretch>
          <a:fillRect/>
        </a:stretch>
      </xdr:blipFill>
      <xdr:spPr>
        <a:xfrm>
          <a:off x="0" y="0"/>
          <a:ext cx="3810532" cy="345805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2</xdr:col>
      <xdr:colOff>209550</xdr:colOff>
      <xdr:row>15</xdr:row>
      <xdr:rowOff>9525</xdr:rowOff>
    </xdr:from>
    <xdr:to>
      <xdr:col>4</xdr:col>
      <xdr:colOff>171450</xdr:colOff>
      <xdr:row>19</xdr:row>
      <xdr:rowOff>133350</xdr:rowOff>
    </xdr:to>
    <mc:AlternateContent xmlns:mc="http://schemas.openxmlformats.org/markup-compatibility/2006">
      <mc:Choice xmlns:sle15="http://schemas.microsoft.com/office/drawing/2012/slicer" Requires="sle15">
        <xdr:graphicFrame macro="">
          <xdr:nvGraphicFramePr>
            <xdr:cNvPr id="2" name="Gender">
              <a:extLst>
                <a:ext uri="{FF2B5EF4-FFF2-40B4-BE49-F238E27FC236}">
                  <a16:creationId xmlns:a16="http://schemas.microsoft.com/office/drawing/2014/main" id="{AD465CED-99FE-4DCB-8F75-D5BFFD217D8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952625" y="2295525"/>
              <a:ext cx="1828800" cy="8858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8</xdr:col>
      <xdr:colOff>361950</xdr:colOff>
      <xdr:row>12</xdr:row>
      <xdr:rowOff>142876</xdr:rowOff>
    </xdr:from>
    <xdr:to>
      <xdr:col>10</xdr:col>
      <xdr:colOff>714375</xdr:colOff>
      <xdr:row>23</xdr:row>
      <xdr:rowOff>47626</xdr:rowOff>
    </xdr:to>
    <mc:AlternateContent xmlns:mc="http://schemas.openxmlformats.org/markup-compatibility/2006">
      <mc:Choice xmlns:sle15="http://schemas.microsoft.com/office/drawing/2012/slicer" Requires="sle15">
        <xdr:graphicFrame macro="">
          <xdr:nvGraphicFramePr>
            <xdr:cNvPr id="3" name="JobTitle">
              <a:extLst>
                <a:ext uri="{FF2B5EF4-FFF2-40B4-BE49-F238E27FC236}">
                  <a16:creationId xmlns:a16="http://schemas.microsoft.com/office/drawing/2014/main" id="{026D4923-B6A5-443C-9FBD-FC70125E0EC4}"/>
                </a:ext>
              </a:extLst>
            </xdr:cNvPr>
            <xdr:cNvGraphicFramePr/>
          </xdr:nvGraphicFramePr>
          <xdr:xfrm>
            <a:off x="0" y="0"/>
            <a:ext cx="0" cy="0"/>
          </xdr:xfrm>
          <a:graphic>
            <a:graphicData uri="http://schemas.microsoft.com/office/drawing/2010/slicer">
              <sle:slicer xmlns:sle="http://schemas.microsoft.com/office/drawing/2010/slicer" name="JobTitle"/>
            </a:graphicData>
          </a:graphic>
        </xdr:graphicFrame>
      </mc:Choice>
      <mc:Fallback>
        <xdr:sp macro="" textlink="">
          <xdr:nvSpPr>
            <xdr:cNvPr id="0" name=""/>
            <xdr:cNvSpPr>
              <a:spLocks noTextEdit="1"/>
            </xdr:cNvSpPr>
          </xdr:nvSpPr>
          <xdr:spPr>
            <a:xfrm>
              <a:off x="6791325" y="1857376"/>
              <a:ext cx="1828800" cy="200025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66675</xdr:colOff>
      <xdr:row>2</xdr:row>
      <xdr:rowOff>76200</xdr:rowOff>
    </xdr:from>
    <xdr:to>
      <xdr:col>10</xdr:col>
      <xdr:colOff>371475</xdr:colOff>
      <xdr:row>11</xdr:row>
      <xdr:rowOff>133350</xdr:rowOff>
    </xdr:to>
    <xdr:graphicFrame macro="">
      <xdr:nvGraphicFramePr>
        <xdr:cNvPr id="2" name="Chart 1">
          <a:extLst>
            <a:ext uri="{FF2B5EF4-FFF2-40B4-BE49-F238E27FC236}">
              <a16:creationId xmlns:a16="http://schemas.microsoft.com/office/drawing/2014/main" id="{25B6BF1A-F725-4A35-9A15-EAB16D924E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i" refreshedDate="45843.638612962961" createdVersion="7" refreshedVersion="7" minRefreshableVersion="3" recordCount="22" xr:uid="{E729C41A-4026-40AD-85F8-4F8E3DDE0735}">
  <cacheSource type="worksheet">
    <worksheetSource ref="A1:I23" sheet="Pivot Table"/>
  </cacheSource>
  <cacheFields count="9">
    <cacheField name="Name" numFmtId="0">
      <sharedItems/>
    </cacheField>
    <cacheField name="Gender" numFmtId="0">
      <sharedItems count="2">
        <s v="M"/>
        <s v="F"/>
      </sharedItems>
    </cacheField>
    <cacheField name="Age" numFmtId="0">
      <sharedItems containsSemiMixedTypes="0" containsString="0" containsNumber="1" containsInteger="1" minValue="11" maxValue="17"/>
    </cacheField>
    <cacheField name="Class" numFmtId="0">
      <sharedItems containsSemiMixedTypes="0" containsString="0" containsNumber="1" containsInteger="1" minValue="5" maxValue="10"/>
    </cacheField>
    <cacheField name="House" numFmtId="0">
      <sharedItems count="4">
        <s v="Bhoomi"/>
        <s v="Vayu"/>
        <s v="Jal"/>
        <s v="Agni"/>
      </sharedItems>
    </cacheField>
    <cacheField name="Unit Test 1" numFmtId="0">
      <sharedItems containsSemiMixedTypes="0" containsString="0" containsNumber="1" containsInteger="1" minValue="70" maxValue="91"/>
    </cacheField>
    <cacheField name="Unit Test 2" numFmtId="0">
      <sharedItems containsSemiMixedTypes="0" containsString="0" containsNumber="1" containsInteger="1" minValue="75" maxValue="96"/>
    </cacheField>
    <cacheField name="Final Test" numFmtId="0">
      <sharedItems containsSemiMixedTypes="0" containsString="0" containsNumber="1" containsInteger="1" minValue="77" maxValue="100"/>
    </cacheField>
    <cacheField name="HALF YEAR TEST"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
  <r>
    <s v="Abhimanyu"/>
    <x v="0"/>
    <n v="16"/>
    <n v="10"/>
    <x v="0"/>
    <n v="84"/>
    <n v="79"/>
    <n v="100"/>
    <m/>
  </r>
  <r>
    <s v="Arjun"/>
    <x v="0"/>
    <n v="11"/>
    <n v="5"/>
    <x v="1"/>
    <n v="82"/>
    <n v="83"/>
    <n v="91"/>
    <m/>
  </r>
  <r>
    <s v="Champa"/>
    <x v="1"/>
    <n v="15"/>
    <n v="8"/>
    <x v="2"/>
    <n v="81"/>
    <n v="78"/>
    <n v="88"/>
    <m/>
  </r>
  <r>
    <s v="Gopal"/>
    <x v="0"/>
    <n v="14"/>
    <n v="8"/>
    <x v="0"/>
    <n v="70"/>
    <n v="75"/>
    <n v="79"/>
    <m/>
  </r>
  <r>
    <s v="Gopi"/>
    <x v="1"/>
    <n v="16"/>
    <n v="10"/>
    <x v="3"/>
    <n v="88"/>
    <n v="92"/>
    <n v="96"/>
    <m/>
  </r>
  <r>
    <s v="Hari"/>
    <x v="0"/>
    <n v="16"/>
    <n v="10"/>
    <x v="0"/>
    <n v="82"/>
    <n v="81"/>
    <n v="80"/>
    <m/>
  </r>
  <r>
    <s v="Indu"/>
    <x v="1"/>
    <n v="14"/>
    <n v="8"/>
    <x v="1"/>
    <n v="90"/>
    <n v="86"/>
    <n v="89"/>
    <m/>
  </r>
  <r>
    <s v="Keshav"/>
    <x v="0"/>
    <n v="15"/>
    <n v="9"/>
    <x v="3"/>
    <n v="87"/>
    <n v="89"/>
    <n v="96"/>
    <m/>
  </r>
  <r>
    <s v="Lalita"/>
    <x v="1"/>
    <n v="17"/>
    <n v="10"/>
    <x v="1"/>
    <n v="70"/>
    <n v="90"/>
    <n v="92"/>
    <m/>
  </r>
  <r>
    <s v="Madhav"/>
    <x v="0"/>
    <n v="12"/>
    <n v="7"/>
    <x v="2"/>
    <n v="86"/>
    <n v="92"/>
    <n v="89"/>
    <m/>
  </r>
  <r>
    <s v="Sam"/>
    <x v="0"/>
    <n v="11"/>
    <n v="6"/>
    <x v="3"/>
    <n v="91"/>
    <n v="81"/>
    <n v="94"/>
    <m/>
  </r>
  <r>
    <s v="RNM"/>
    <x v="0"/>
    <n v="16"/>
    <n v="10"/>
    <x v="3"/>
    <n v="86"/>
    <n v="81"/>
    <n v="77"/>
    <m/>
  </r>
  <r>
    <s v="Student1"/>
    <x v="0"/>
    <n v="15"/>
    <n v="9"/>
    <x v="3"/>
    <n v="87"/>
    <n v="89"/>
    <n v="95"/>
    <m/>
  </r>
  <r>
    <s v="Student8"/>
    <x v="1"/>
    <n v="15"/>
    <n v="8"/>
    <x v="1"/>
    <n v="81"/>
    <n v="90"/>
    <n v="95"/>
    <m/>
  </r>
  <r>
    <s v="Student2"/>
    <x v="1"/>
    <n v="17"/>
    <n v="10"/>
    <x v="1"/>
    <n v="70"/>
    <n v="90"/>
    <n v="92"/>
    <m/>
  </r>
  <r>
    <s v="Student4"/>
    <x v="1"/>
    <n v="12"/>
    <n v="7"/>
    <x v="2"/>
    <n v="86"/>
    <n v="92"/>
    <n v="89"/>
    <m/>
  </r>
  <r>
    <s v="Student5"/>
    <x v="1"/>
    <n v="16"/>
    <n v="10"/>
    <x v="2"/>
    <n v="81"/>
    <n v="80"/>
    <n v="87"/>
    <m/>
  </r>
  <r>
    <s v="Sudevi"/>
    <x v="1"/>
    <n v="16"/>
    <n v="10"/>
    <x v="2"/>
    <n v="81"/>
    <n v="80"/>
    <n v="87"/>
    <m/>
  </r>
  <r>
    <s v="Varun"/>
    <x v="0"/>
    <n v="15"/>
    <n v="9"/>
    <x v="1"/>
    <n v="87"/>
    <n v="89"/>
    <n v="95"/>
    <m/>
  </r>
  <r>
    <s v="Vidya"/>
    <x v="1"/>
    <n v="11"/>
    <n v="6"/>
    <x v="1"/>
    <n v="88"/>
    <n v="90"/>
    <n v="92"/>
    <m/>
  </r>
  <r>
    <s v="Visakha"/>
    <x v="1"/>
    <n v="16"/>
    <n v="10"/>
    <x v="0"/>
    <n v="70"/>
    <n v="87"/>
    <n v="85"/>
    <m/>
  </r>
  <r>
    <s v="Vrinda"/>
    <x v="1"/>
    <n v="14"/>
    <n v="8"/>
    <x v="3"/>
    <n v="91"/>
    <n v="96"/>
    <n v="98"/>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D107628-45EE-4339-8746-438980DF812B}" name="PivotTable3" cacheId="14"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location ref="A3:C11" firstHeaderRow="1" firstDataRow="1" firstDataCol="2"/>
  <pivotFields count="9">
    <pivotField compact="0" outline="0" showAll="0" defaultSubtotal="0"/>
    <pivotField axis="axisRow" compact="0" outline="0" showAll="0" defaultSubtotal="0">
      <items count="2">
        <item x="1"/>
        <item x="0"/>
      </items>
    </pivotField>
    <pivotField compact="0" outline="0" showAll="0" defaultSubtotal="0"/>
    <pivotField compact="0" outline="0" showAll="0" defaultSubtotal="0"/>
    <pivotField axis="axisRow" compact="0" outline="0" multipleItemSelectionAllowed="1" showAll="0" sortType="descending" defaultSubtotal="0">
      <items count="4">
        <item x="3"/>
        <item x="0"/>
        <item x="2"/>
        <item x="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dataField="1" compact="0" outline="0" showAll="0" defaultSubtotal="0"/>
    <pivotField compact="0" outline="0" subtotalTop="0" showAll="0" defaultSubtotal="0"/>
  </pivotFields>
  <rowFields count="2">
    <field x="4"/>
    <field x="1"/>
  </rowFields>
  <rowItems count="8">
    <i>
      <x v="3"/>
      <x/>
    </i>
    <i r="1">
      <x v="1"/>
    </i>
    <i>
      <x/>
      <x/>
    </i>
    <i r="1">
      <x v="1"/>
    </i>
    <i>
      <x v="2"/>
      <x/>
    </i>
    <i r="1">
      <x v="1"/>
    </i>
    <i>
      <x v="1"/>
      <x/>
    </i>
    <i r="1">
      <x v="1"/>
    </i>
  </rowItems>
  <colItems count="1">
    <i/>
  </colItems>
  <dataFields count="1">
    <dataField name="Sum of Final Tes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7AA89F1-BFDC-43C5-900E-0E4B6F730C19}" sourceName="Gender">
  <extLst>
    <x:ext xmlns:x15="http://schemas.microsoft.com/office/spreadsheetml/2010/11/main" uri="{2F2917AC-EB37-4324-AD4E-5DD8C200BD13}">
      <x15:tableSlicerCache tableId="1" column="6"/>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Title" xr10:uid="{825EFB6F-A5F3-4330-B616-A5B1DBE015D1}" sourceName="JobTitle">
  <extLst>
    <x:ext xmlns:x15="http://schemas.microsoft.com/office/spreadsheetml/2010/11/main" uri="{2F2917AC-EB37-4324-AD4E-5DD8C200BD13}">
      <x15:tableSlicerCache tableId="1" column="7"/>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82282B8E-C0D1-4956-8B8B-9BFB909B2D32}" cache="Slicer_Gender" caption="Gender" rowHeight="241300"/>
  <slicer name="JobTitle" xr10:uid="{45BA8F7F-E348-44CE-90B0-9AD79CD10826}" cache="Slicer_JobTitle" caption="JobTitl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9EFD84D-A55A-4740-8760-C6A9CA5500EB}" name="Table1" displayName="Table1" ref="A1:K10" totalsRowShown="0" headerRowDxfId="12" headerRowBorderDxfId="24" tableBorderDxfId="25" totalsRowBorderDxfId="23">
  <autoFilter ref="A1:K10" xr:uid="{45DCCF89-50FF-4D20-8BFB-5B7EBFA94275}">
    <filterColumn colId="5">
      <filters>
        <filter val="Male"/>
      </filters>
    </filterColumn>
  </autoFilter>
  <sortState xmlns:xlrd2="http://schemas.microsoft.com/office/spreadsheetml/2017/richdata2" ref="A2:K10">
    <sortCondition descending="1" ref="E2:E10"/>
    <sortCondition descending="1" ref="H2:H10"/>
  </sortState>
  <tableColumns count="11">
    <tableColumn id="1" xr3:uid="{FA7CDA7C-9D13-47FB-A3AE-E9347EE5B282}" name="EmployeeID" dataDxfId="22"/>
    <tableColumn id="2" xr3:uid="{F6526D53-EFED-4C73-8B01-51DEE51CE223}" name="FirstName" dataDxfId="21"/>
    <tableColumn id="3" xr3:uid="{8675BE64-6B5D-4E01-9AE3-292B7007A648}" name="LastName" dataDxfId="20"/>
    <tableColumn id="4" xr3:uid="{DC674372-3A1F-4FA2-B427-4C6DFC973830}" name="Full Name" dataDxfId="19"/>
    <tableColumn id="5" xr3:uid="{E81B7BE2-2FFE-42C7-91F0-5681967350B4}" name="Age" dataDxfId="18"/>
    <tableColumn id="6" xr3:uid="{D8D031DA-C459-489F-94CA-633D3AB22AEE}" name="Gender" dataDxfId="17"/>
    <tableColumn id="7" xr3:uid="{25537BA4-4BAE-4610-99F7-BF2E039EF093}" name="JobTitle" dataDxfId="16"/>
    <tableColumn id="8" xr3:uid="{2F2512E0-A175-4F60-B8A2-57E87F0FAF60}" name="Salary" dataDxfId="15"/>
    <tableColumn id="9" xr3:uid="{7B410413-AE80-452B-B2A3-EEA8A33E9232}" name="StartDate" dataDxfId="14"/>
    <tableColumn id="10" xr3:uid="{42ADAA07-A388-43E7-BDC1-13B586EFE336}" name="EndDate" dataDxfId="13"/>
    <tableColumn id="11" xr3:uid="{DA3D3211-DEC2-4ABC-A034-3C514B0BEB7C}" name="Email" dataDxfId="11"/>
  </tableColumns>
  <tableStyleInfo name="TableStyleMedium2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2741400-D49D-4DB1-8194-CD5F9816EBFD}" name="Table2" displayName="Table2" ref="D2:D11" totalsRowShown="0" headerRowDxfId="7" headerRowBorderDxfId="9" tableBorderDxfId="10" totalsRowBorderDxfId="8">
  <autoFilter ref="D2:D11" xr:uid="{52741400-D49D-4DB1-8194-CD5F9816EBFD}"/>
  <tableColumns count="1">
    <tableColumn id="1" xr3:uid="{F2C9E45B-ECBC-4766-883D-C02CDA3B70C6}" name="Salar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hyperlink" Target="https://www.linkedin.com/in/harimgupta" TargetMode="External"/><Relationship Id="rId6" Type="http://schemas.openxmlformats.org/officeDocument/2006/relationships/comments" Target="../comments2.xml"/><Relationship Id="rId5" Type="http://schemas.microsoft.com/office/2007/relationships/slicer" Target="../slicers/slicer1.xml"/><Relationship Id="rId4"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tabSelected="1" workbookViewId="0">
      <selection activeCell="K9" sqref="K9"/>
    </sheetView>
  </sheetViews>
  <sheetFormatPr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7DC7B-932A-40CA-85BE-C44C382A2CBA}">
  <dimension ref="B2:J7"/>
  <sheetViews>
    <sheetView workbookViewId="0">
      <selection activeCell="C9" sqref="C9"/>
    </sheetView>
  </sheetViews>
  <sheetFormatPr defaultRowHeight="15" x14ac:dyDescent="0.25"/>
  <cols>
    <col min="8" max="8" width="9.140625" style="1"/>
  </cols>
  <sheetData>
    <row r="2" spans="2:10" x14ac:dyDescent="0.25">
      <c r="B2" t="s">
        <v>0</v>
      </c>
      <c r="H2" s="1" t="s">
        <v>3</v>
      </c>
      <c r="J2" s="1" t="s">
        <v>5</v>
      </c>
    </row>
    <row r="3" spans="2:10" x14ac:dyDescent="0.25">
      <c r="B3" t="s">
        <v>2</v>
      </c>
    </row>
    <row r="4" spans="2:10" s="1" customFormat="1" x14ac:dyDescent="0.25">
      <c r="B4" s="1" t="s">
        <v>1</v>
      </c>
      <c r="I4" s="1" t="s">
        <v>4</v>
      </c>
    </row>
    <row r="6" spans="2:10" x14ac:dyDescent="0.25">
      <c r="B6" t="s">
        <v>26</v>
      </c>
    </row>
    <row r="7" spans="2:10" x14ac:dyDescent="0.25">
      <c r="B7" t="s">
        <v>188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F98A0-1E98-4431-9E7F-CEAB40624F7D}">
  <sheetPr>
    <tabColor theme="4" tint="-0.249977111117893"/>
  </sheetPr>
  <dimension ref="A1:J10"/>
  <sheetViews>
    <sheetView workbookViewId="0">
      <selection activeCell="B5" sqref="B5"/>
    </sheetView>
  </sheetViews>
  <sheetFormatPr defaultRowHeight="15" x14ac:dyDescent="0.25"/>
  <cols>
    <col min="1" max="1" width="5.42578125" style="2" bestFit="1" customWidth="1"/>
    <col min="2" max="2" width="14.5703125" customWidth="1"/>
    <col min="3" max="3" width="10.140625" bestFit="1" customWidth="1"/>
    <col min="4" max="4" width="10.42578125" bestFit="1" customWidth="1"/>
    <col min="5" max="5" width="7.140625" bestFit="1" customWidth="1"/>
    <col min="6" max="6" width="10.5703125" customWidth="1"/>
    <col min="7" max="7" width="12.42578125" customWidth="1"/>
    <col min="8" max="8" width="11.5703125" style="2" customWidth="1"/>
    <col min="9" max="9" width="10.28515625" style="2" customWidth="1"/>
    <col min="10" max="10" width="15.5703125" customWidth="1"/>
  </cols>
  <sheetData>
    <row r="1" spans="1:10" x14ac:dyDescent="0.25">
      <c r="A1" s="9" t="s">
        <v>27</v>
      </c>
      <c r="B1" s="10"/>
      <c r="C1" s="10"/>
      <c r="D1" s="10"/>
      <c r="E1" s="10"/>
      <c r="F1" s="10"/>
      <c r="G1" s="10"/>
      <c r="H1" s="10"/>
      <c r="I1" s="10"/>
      <c r="J1" s="11"/>
    </row>
    <row r="2" spans="1:10" ht="15.75" thickBot="1" x14ac:dyDescent="0.3">
      <c r="A2" s="12"/>
      <c r="B2" s="13"/>
      <c r="C2" s="13"/>
      <c r="D2" s="13"/>
      <c r="E2" s="13"/>
      <c r="F2" s="13"/>
      <c r="G2" s="13"/>
      <c r="H2" s="13"/>
      <c r="I2" s="13"/>
      <c r="J2" s="14"/>
    </row>
    <row r="5" spans="1:10" x14ac:dyDescent="0.25">
      <c r="A5" s="6" t="s">
        <v>6</v>
      </c>
      <c r="B5" s="29" t="s">
        <v>7</v>
      </c>
      <c r="C5" s="7" t="s">
        <v>8</v>
      </c>
      <c r="D5" s="6" t="s">
        <v>9</v>
      </c>
      <c r="E5" s="6" t="s">
        <v>10</v>
      </c>
      <c r="F5" s="6" t="s">
        <v>11</v>
      </c>
      <c r="G5" s="6" t="s">
        <v>12</v>
      </c>
      <c r="H5" s="6" t="s">
        <v>13</v>
      </c>
      <c r="I5" s="6" t="s">
        <v>14</v>
      </c>
      <c r="J5" s="7" t="s">
        <v>15</v>
      </c>
    </row>
    <row r="6" spans="1:10" x14ac:dyDescent="0.25">
      <c r="A6" s="3">
        <v>1</v>
      </c>
      <c r="B6" s="4" t="s">
        <v>16</v>
      </c>
      <c r="C6" s="4" t="s">
        <v>21</v>
      </c>
      <c r="D6" s="5">
        <v>42030</v>
      </c>
      <c r="E6" s="3">
        <v>1509</v>
      </c>
      <c r="F6" s="3">
        <v>2039</v>
      </c>
      <c r="G6" s="3">
        <v>2296</v>
      </c>
      <c r="H6" s="3">
        <f>SUM(E6:G6)</f>
        <v>5844</v>
      </c>
      <c r="I6" s="8">
        <f>AVERAGE(E6:G6)</f>
        <v>1948</v>
      </c>
      <c r="J6" s="4" t="str">
        <f>_xlfn.CONCAT(B6," ",C6)</f>
        <v>RNM KUMAR</v>
      </c>
    </row>
    <row r="7" spans="1:10" x14ac:dyDescent="0.25">
      <c r="A7" s="3">
        <v>2</v>
      </c>
      <c r="B7" s="4" t="s">
        <v>17</v>
      </c>
      <c r="C7" s="4" t="s">
        <v>22</v>
      </c>
      <c r="D7" s="5">
        <v>42954</v>
      </c>
      <c r="E7" s="3">
        <v>2510</v>
      </c>
      <c r="F7" s="3">
        <v>2724</v>
      </c>
      <c r="G7" s="3">
        <v>2571</v>
      </c>
      <c r="H7" s="3">
        <f>SUM(E7:G7)</f>
        <v>7805</v>
      </c>
      <c r="I7" s="8">
        <f>AVERAGE(E7:G7)</f>
        <v>2601.6666666666665</v>
      </c>
      <c r="J7" s="4" t="str">
        <f>_xlfn.CONCAT(B7," ",C7)</f>
        <v>GOPAL VARMA</v>
      </c>
    </row>
    <row r="8" spans="1:10" x14ac:dyDescent="0.25">
      <c r="A8" s="3">
        <v>3</v>
      </c>
      <c r="B8" s="4" t="s">
        <v>18</v>
      </c>
      <c r="C8" s="4" t="s">
        <v>23</v>
      </c>
      <c r="D8" s="5">
        <v>40976</v>
      </c>
      <c r="E8" s="3">
        <v>2676</v>
      </c>
      <c r="F8" s="3">
        <v>2899</v>
      </c>
      <c r="G8" s="3">
        <v>2980</v>
      </c>
      <c r="H8" s="3">
        <f>SUM(E8:G8)</f>
        <v>8555</v>
      </c>
      <c r="I8" s="8">
        <f>AVERAGE(E8:G8)</f>
        <v>2851.6666666666665</v>
      </c>
      <c r="J8" s="4" t="str">
        <f>_xlfn.CONCAT(B8," ",C8)</f>
        <v>JOSEPH PAUL</v>
      </c>
    </row>
    <row r="9" spans="1:10" x14ac:dyDescent="0.25">
      <c r="A9" s="3">
        <v>4</v>
      </c>
      <c r="B9" s="4" t="s">
        <v>19</v>
      </c>
      <c r="C9" s="4" t="s">
        <v>24</v>
      </c>
      <c r="D9" s="5">
        <v>41737</v>
      </c>
      <c r="E9" s="3">
        <v>2261</v>
      </c>
      <c r="F9" s="3">
        <v>1581</v>
      </c>
      <c r="G9" s="3">
        <v>2252</v>
      </c>
      <c r="H9" s="3">
        <f>SUM(E9:G9)</f>
        <v>6094</v>
      </c>
      <c r="I9" s="8">
        <f>AVERAGE(E9:G9)</f>
        <v>2031.3333333333333</v>
      </c>
      <c r="J9" s="4" t="str">
        <f>_xlfn.CONCAT(B9," ",C9)</f>
        <v>HARI SINGH</v>
      </c>
    </row>
    <row r="10" spans="1:10" x14ac:dyDescent="0.25">
      <c r="A10" s="3">
        <v>5</v>
      </c>
      <c r="B10" s="4" t="s">
        <v>20</v>
      </c>
      <c r="C10" s="4" t="s">
        <v>25</v>
      </c>
      <c r="D10" s="5">
        <v>41110</v>
      </c>
      <c r="E10" s="3">
        <v>1585</v>
      </c>
      <c r="F10" s="3">
        <v>2455</v>
      </c>
      <c r="G10" s="3">
        <v>2894</v>
      </c>
      <c r="H10" s="3">
        <f>SUM(E10:G10)</f>
        <v>6934</v>
      </c>
      <c r="I10" s="8">
        <f>AVERAGE(E10:G10)</f>
        <v>2311.3333333333335</v>
      </c>
      <c r="J10" s="4" t="str">
        <f>_xlfn.CONCAT(B10," ",C10)</f>
        <v>RAJA RAM</v>
      </c>
    </row>
  </sheetData>
  <mergeCells count="1">
    <mergeCell ref="A1:J2"/>
  </mergeCells>
  <conditionalFormatting sqref="H10:H1048576 H5:H8">
    <cfRule type="colorScale" priority="4">
      <colorScale>
        <cfvo type="min"/>
        <cfvo type="percentile" val="50"/>
        <cfvo type="max"/>
        <color rgb="FFF8696B"/>
        <color rgb="FFFFEB84"/>
        <color rgb="FF63BE7B"/>
      </colorScale>
    </cfRule>
  </conditionalFormatting>
  <conditionalFormatting sqref="H9">
    <cfRule type="colorScale" priority="3">
      <colorScale>
        <cfvo type="min"/>
        <cfvo type="percentile" val="50"/>
        <cfvo type="max"/>
        <color rgb="FFF8696B"/>
        <color rgb="FFFFEB84"/>
        <color rgb="FF63BE7B"/>
      </colorScale>
    </cfRule>
  </conditionalFormatting>
  <conditionalFormatting sqref="J3:J1048576">
    <cfRule type="duplicateValues" dxfId="6" priority="2"/>
  </conditionalFormatting>
  <conditionalFormatting sqref="H6:H10">
    <cfRule type="colorScale" priority="1">
      <colorScale>
        <cfvo type="min"/>
        <cfvo type="percentile" val="50"/>
        <cfvo type="max"/>
        <color rgb="FFF8696B"/>
        <color rgb="FFFFEB84"/>
        <color rgb="FF63BE7B"/>
      </colorScale>
    </cfRule>
  </conditionalFormatting>
  <hyperlinks>
    <hyperlink ref="B5" location="Sheet5!A1" display="First Name" xr:uid="{F2FFD708-C20E-4D65-A4E9-0A29ADDE93E9}"/>
  </hyperlink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D54DA-0429-4F58-B8D5-46B064F218B0}">
  <dimension ref="A2:D8"/>
  <sheetViews>
    <sheetView workbookViewId="0">
      <selection activeCell="E5" sqref="E5"/>
    </sheetView>
  </sheetViews>
  <sheetFormatPr defaultRowHeight="15" x14ac:dyDescent="0.25"/>
  <cols>
    <col min="4" max="4" width="14.140625" bestFit="1" customWidth="1"/>
  </cols>
  <sheetData>
    <row r="2" spans="1:4" x14ac:dyDescent="0.25">
      <c r="A2" s="18" t="s">
        <v>28</v>
      </c>
      <c r="B2" s="18" t="s">
        <v>29</v>
      </c>
      <c r="C2" s="18" t="s">
        <v>30</v>
      </c>
      <c r="D2" s="18" t="s">
        <v>31</v>
      </c>
    </row>
    <row r="3" spans="1:4" x14ac:dyDescent="0.25">
      <c r="A3" s="15">
        <v>1.0333000000000001</v>
      </c>
      <c r="B3" s="15">
        <f>ROUND(A3,0)</f>
        <v>1</v>
      </c>
      <c r="C3" s="15">
        <f>ROUNDUP(A3,0)</f>
        <v>2</v>
      </c>
      <c r="D3" s="15">
        <f>ROUNDDOWN(A3,0)</f>
        <v>1</v>
      </c>
    </row>
    <row r="4" spans="1:4" x14ac:dyDescent="0.25">
      <c r="A4" s="3">
        <v>2.04576</v>
      </c>
      <c r="B4" s="15">
        <f t="shared" ref="B4:B8" si="0">ROUND(A4,0)</f>
        <v>2</v>
      </c>
      <c r="C4" s="15">
        <f t="shared" ref="C4:C8" si="1">ROUNDUP(A4,0)</f>
        <v>3</v>
      </c>
      <c r="D4" s="15">
        <f t="shared" ref="D4:D8" si="2">ROUNDDOWN(A4,0)</f>
        <v>2</v>
      </c>
    </row>
    <row r="5" spans="1:4" x14ac:dyDescent="0.25">
      <c r="A5" s="3">
        <v>3.8765000000000001</v>
      </c>
      <c r="B5" s="15">
        <f t="shared" si="0"/>
        <v>4</v>
      </c>
      <c r="C5" s="15">
        <f t="shared" si="1"/>
        <v>4</v>
      </c>
      <c r="D5" s="15">
        <f t="shared" si="2"/>
        <v>3</v>
      </c>
    </row>
    <row r="6" spans="1:4" x14ac:dyDescent="0.25">
      <c r="A6" s="3">
        <v>2.09999</v>
      </c>
      <c r="B6" s="15">
        <f t="shared" si="0"/>
        <v>2</v>
      </c>
      <c r="C6" s="15">
        <f t="shared" si="1"/>
        <v>3</v>
      </c>
      <c r="D6" s="15">
        <f t="shared" si="2"/>
        <v>2</v>
      </c>
    </row>
    <row r="7" spans="1:4" x14ac:dyDescent="0.25">
      <c r="A7" s="3">
        <v>1.0654300000000001</v>
      </c>
      <c r="B7" s="15">
        <f t="shared" si="0"/>
        <v>1</v>
      </c>
      <c r="C7" s="15">
        <f t="shared" si="1"/>
        <v>2</v>
      </c>
      <c r="D7" s="15">
        <f t="shared" si="2"/>
        <v>1</v>
      </c>
    </row>
    <row r="8" spans="1:4" x14ac:dyDescent="0.25">
      <c r="A8" s="3">
        <v>4.5556000000000001</v>
      </c>
      <c r="B8" s="15">
        <f t="shared" si="0"/>
        <v>5</v>
      </c>
      <c r="C8" s="15">
        <f t="shared" si="1"/>
        <v>5</v>
      </c>
      <c r="D8" s="15">
        <f t="shared" si="2"/>
        <v>4</v>
      </c>
    </row>
  </sheetData>
  <pageMargins left="0.7" right="0.7" top="0.75" bottom="0.75" header="0.3" footer="0.3"/>
  <pageSetup paperSize="9" orientation="portrait" horizontalDpi="300" verticalDpi="0" copies="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18650-07E8-4234-9C37-0AF45CF7F019}">
  <dimension ref="B3:G14"/>
  <sheetViews>
    <sheetView workbookViewId="0">
      <selection activeCell="H18" sqref="H18"/>
    </sheetView>
  </sheetViews>
  <sheetFormatPr defaultRowHeight="15" x14ac:dyDescent="0.25"/>
  <cols>
    <col min="2" max="2" width="11.140625" bestFit="1" customWidth="1"/>
  </cols>
  <sheetData>
    <row r="3" spans="2:7" x14ac:dyDescent="0.25">
      <c r="B3" t="s">
        <v>32</v>
      </c>
      <c r="C3" t="s">
        <v>44</v>
      </c>
      <c r="D3" t="s">
        <v>51</v>
      </c>
      <c r="E3" t="s">
        <v>62</v>
      </c>
      <c r="F3">
        <v>1</v>
      </c>
      <c r="G3">
        <v>1</v>
      </c>
    </row>
    <row r="4" spans="2:7" x14ac:dyDescent="0.25">
      <c r="B4" t="s">
        <v>33</v>
      </c>
      <c r="C4" t="s">
        <v>45</v>
      </c>
      <c r="D4" t="s">
        <v>52</v>
      </c>
      <c r="E4" t="s">
        <v>63</v>
      </c>
      <c r="F4">
        <v>1</v>
      </c>
      <c r="G4">
        <v>2</v>
      </c>
    </row>
    <row r="5" spans="2:7" x14ac:dyDescent="0.25">
      <c r="B5" t="s">
        <v>34</v>
      </c>
      <c r="C5" t="s">
        <v>46</v>
      </c>
      <c r="D5" t="s">
        <v>53</v>
      </c>
      <c r="E5" t="s">
        <v>64</v>
      </c>
      <c r="F5">
        <v>1</v>
      </c>
      <c r="G5">
        <v>3</v>
      </c>
    </row>
    <row r="6" spans="2:7" x14ac:dyDescent="0.25">
      <c r="B6" t="s">
        <v>35</v>
      </c>
      <c r="C6" t="s">
        <v>47</v>
      </c>
      <c r="D6" t="s">
        <v>54</v>
      </c>
      <c r="E6" t="s">
        <v>65</v>
      </c>
      <c r="F6">
        <v>1</v>
      </c>
      <c r="G6">
        <v>4</v>
      </c>
    </row>
    <row r="7" spans="2:7" x14ac:dyDescent="0.25">
      <c r="B7" t="s">
        <v>36</v>
      </c>
      <c r="C7" t="s">
        <v>48</v>
      </c>
      <c r="D7" t="s">
        <v>36</v>
      </c>
      <c r="E7" t="s">
        <v>66</v>
      </c>
      <c r="F7">
        <v>1</v>
      </c>
      <c r="G7">
        <v>5</v>
      </c>
    </row>
    <row r="8" spans="2:7" x14ac:dyDescent="0.25">
      <c r="B8" t="s">
        <v>37</v>
      </c>
      <c r="C8" t="s">
        <v>49</v>
      </c>
      <c r="D8" t="s">
        <v>55</v>
      </c>
      <c r="E8" t="s">
        <v>67</v>
      </c>
      <c r="F8">
        <v>1</v>
      </c>
      <c r="G8">
        <v>6</v>
      </c>
    </row>
    <row r="9" spans="2:7" x14ac:dyDescent="0.25">
      <c r="B9" t="s">
        <v>38</v>
      </c>
      <c r="C9" t="s">
        <v>50</v>
      </c>
      <c r="D9" t="s">
        <v>56</v>
      </c>
      <c r="E9" t="s">
        <v>68</v>
      </c>
      <c r="F9">
        <v>1</v>
      </c>
      <c r="G9">
        <v>7</v>
      </c>
    </row>
    <row r="10" spans="2:7" x14ac:dyDescent="0.25">
      <c r="B10" t="s">
        <v>39</v>
      </c>
      <c r="D10" t="s">
        <v>57</v>
      </c>
      <c r="E10" t="s">
        <v>62</v>
      </c>
      <c r="F10">
        <v>1</v>
      </c>
      <c r="G10">
        <v>8</v>
      </c>
    </row>
    <row r="11" spans="2:7" x14ac:dyDescent="0.25">
      <c r="B11" t="s">
        <v>40</v>
      </c>
      <c r="D11" t="s">
        <v>58</v>
      </c>
      <c r="E11" t="s">
        <v>63</v>
      </c>
      <c r="F11">
        <v>1</v>
      </c>
      <c r="G11">
        <v>9</v>
      </c>
    </row>
    <row r="12" spans="2:7" x14ac:dyDescent="0.25">
      <c r="B12" t="s">
        <v>41</v>
      </c>
      <c r="D12" t="s">
        <v>59</v>
      </c>
      <c r="E12" t="s">
        <v>64</v>
      </c>
      <c r="F12">
        <v>1</v>
      </c>
      <c r="G12">
        <v>10</v>
      </c>
    </row>
    <row r="13" spans="2:7" x14ac:dyDescent="0.25">
      <c r="B13" t="s">
        <v>42</v>
      </c>
      <c r="D13" t="s">
        <v>60</v>
      </c>
      <c r="E13" t="s">
        <v>65</v>
      </c>
      <c r="F13">
        <v>1</v>
      </c>
      <c r="G13">
        <v>11</v>
      </c>
    </row>
    <row r="14" spans="2:7" x14ac:dyDescent="0.25">
      <c r="B14" t="s">
        <v>43</v>
      </c>
      <c r="D14" t="s">
        <v>61</v>
      </c>
      <c r="E14" t="s">
        <v>66</v>
      </c>
      <c r="F14">
        <v>1</v>
      </c>
      <c r="G14">
        <v>12</v>
      </c>
    </row>
  </sheetData>
  <phoneticPr fontId="3"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CCF89-50FF-4D20-8BFB-5B7EBFA94275}">
  <dimension ref="A1:K10"/>
  <sheetViews>
    <sheetView workbookViewId="0">
      <selection activeCell="H1" activeCellId="1" sqref="C1:C10 H1:H10"/>
    </sheetView>
  </sheetViews>
  <sheetFormatPr defaultRowHeight="15" x14ac:dyDescent="0.25"/>
  <cols>
    <col min="1" max="1" width="13.85546875" customWidth="1"/>
    <col min="2" max="2" width="12.28515625" customWidth="1"/>
    <col min="3" max="3" width="11.85546875" customWidth="1"/>
    <col min="4" max="4" width="16.140625" bestFit="1" customWidth="1"/>
    <col min="5" max="5" width="6.5703125" customWidth="1"/>
    <col min="6" max="6" width="9.85546875" customWidth="1"/>
    <col min="7" max="7" width="17.42578125" bestFit="1" customWidth="1"/>
    <col min="8" max="8" width="8.42578125" customWidth="1"/>
    <col min="9" max="9" width="11.42578125" customWidth="1"/>
    <col min="10" max="10" width="10.7109375" bestFit="1" customWidth="1"/>
    <col min="11" max="11" width="39" style="28" customWidth="1"/>
  </cols>
  <sheetData>
    <row r="1" spans="1:11" x14ac:dyDescent="0.25">
      <c r="A1" s="20" t="s">
        <v>69</v>
      </c>
      <c r="B1" s="30" t="s">
        <v>70</v>
      </c>
      <c r="C1" s="21" t="s">
        <v>71</v>
      </c>
      <c r="D1" s="21" t="s">
        <v>15</v>
      </c>
      <c r="E1" s="21" t="s">
        <v>72</v>
      </c>
      <c r="F1" s="21" t="s">
        <v>73</v>
      </c>
      <c r="G1" s="21" t="s">
        <v>74</v>
      </c>
      <c r="H1" s="21" t="s">
        <v>75</v>
      </c>
      <c r="I1" s="21" t="s">
        <v>76</v>
      </c>
      <c r="J1" s="21" t="s">
        <v>77</v>
      </c>
      <c r="K1" s="25" t="s">
        <v>78</v>
      </c>
    </row>
    <row r="2" spans="1:11" x14ac:dyDescent="0.25">
      <c r="A2" s="19">
        <v>1008</v>
      </c>
      <c r="B2" s="3" t="s">
        <v>127</v>
      </c>
      <c r="C2" s="3" t="s">
        <v>128</v>
      </c>
      <c r="D2" s="3" t="s">
        <v>129</v>
      </c>
      <c r="E2" s="3">
        <v>38</v>
      </c>
      <c r="F2" s="3" t="s">
        <v>82</v>
      </c>
      <c r="G2" s="3" t="s">
        <v>96</v>
      </c>
      <c r="H2" s="3">
        <v>48000</v>
      </c>
      <c r="I2" s="16" t="s">
        <v>130</v>
      </c>
      <c r="J2" s="16" t="s">
        <v>131</v>
      </c>
      <c r="K2" s="26" t="s">
        <v>132</v>
      </c>
    </row>
    <row r="3" spans="1:11" x14ac:dyDescent="0.25">
      <c r="A3" s="19">
        <v>1006</v>
      </c>
      <c r="B3" s="3" t="s">
        <v>87</v>
      </c>
      <c r="C3" s="3" t="s">
        <v>88</v>
      </c>
      <c r="D3" s="3" t="s">
        <v>89</v>
      </c>
      <c r="E3" s="3">
        <v>35</v>
      </c>
      <c r="F3" s="3" t="s">
        <v>82</v>
      </c>
      <c r="G3" s="3" t="s">
        <v>90</v>
      </c>
      <c r="H3" s="3">
        <v>65000</v>
      </c>
      <c r="I3" s="16" t="s">
        <v>84</v>
      </c>
      <c r="J3" s="16" t="s">
        <v>91</v>
      </c>
      <c r="K3" s="26" t="s">
        <v>92</v>
      </c>
    </row>
    <row r="4" spans="1:11" x14ac:dyDescent="0.25">
      <c r="A4" s="19">
        <v>1005</v>
      </c>
      <c r="B4" s="3" t="s">
        <v>79</v>
      </c>
      <c r="C4" s="3" t="s">
        <v>80</v>
      </c>
      <c r="D4" s="3" t="s">
        <v>81</v>
      </c>
      <c r="E4" s="3">
        <v>32</v>
      </c>
      <c r="F4" s="3" t="s">
        <v>82</v>
      </c>
      <c r="G4" s="3" t="s">
        <v>83</v>
      </c>
      <c r="H4" s="3">
        <v>50000</v>
      </c>
      <c r="I4" s="16" t="s">
        <v>84</v>
      </c>
      <c r="J4" s="16" t="s">
        <v>85</v>
      </c>
      <c r="K4" s="26" t="s">
        <v>86</v>
      </c>
    </row>
    <row r="5" spans="1:11" hidden="1" x14ac:dyDescent="0.25">
      <c r="A5" s="19">
        <v>1007</v>
      </c>
      <c r="B5" s="3" t="s">
        <v>121</v>
      </c>
      <c r="C5" s="3" t="s">
        <v>122</v>
      </c>
      <c r="D5" s="3" t="s">
        <v>123</v>
      </c>
      <c r="E5" s="3">
        <v>32</v>
      </c>
      <c r="F5" s="3" t="s">
        <v>103</v>
      </c>
      <c r="G5" s="3" t="s">
        <v>124</v>
      </c>
      <c r="H5" s="3">
        <v>41000</v>
      </c>
      <c r="I5" s="16" t="s">
        <v>125</v>
      </c>
      <c r="J5" s="16" t="s">
        <v>91</v>
      </c>
      <c r="K5" s="26" t="s">
        <v>126</v>
      </c>
    </row>
    <row r="6" spans="1:11" hidden="1" x14ac:dyDescent="0.25">
      <c r="A6" s="19">
        <v>1004</v>
      </c>
      <c r="B6" s="3" t="s">
        <v>114</v>
      </c>
      <c r="C6" s="3" t="s">
        <v>115</v>
      </c>
      <c r="D6" s="3" t="s">
        <v>116</v>
      </c>
      <c r="E6" s="17">
        <v>31</v>
      </c>
      <c r="F6" s="17" t="s">
        <v>103</v>
      </c>
      <c r="G6" s="17" t="s">
        <v>117</v>
      </c>
      <c r="H6" s="17">
        <v>47000</v>
      </c>
      <c r="I6" s="16" t="s">
        <v>118</v>
      </c>
      <c r="J6" s="16" t="s">
        <v>119</v>
      </c>
      <c r="K6" s="26" t="s">
        <v>120</v>
      </c>
    </row>
    <row r="7" spans="1:11" x14ac:dyDescent="0.25">
      <c r="A7" s="19">
        <v>1009</v>
      </c>
      <c r="B7" s="3" t="s">
        <v>133</v>
      </c>
      <c r="C7" s="3" t="s">
        <v>134</v>
      </c>
      <c r="D7" s="3" t="s">
        <v>135</v>
      </c>
      <c r="E7" s="17">
        <v>31</v>
      </c>
      <c r="F7" s="17" t="s">
        <v>82</v>
      </c>
      <c r="G7" s="17" t="s">
        <v>117</v>
      </c>
      <c r="H7" s="17">
        <v>42000</v>
      </c>
      <c r="I7" s="16" t="s">
        <v>136</v>
      </c>
      <c r="J7" s="16" t="s">
        <v>131</v>
      </c>
      <c r="K7" s="26" t="s">
        <v>137</v>
      </c>
    </row>
    <row r="8" spans="1:11" x14ac:dyDescent="0.25">
      <c r="A8" s="19">
        <v>1001</v>
      </c>
      <c r="B8" s="3" t="s">
        <v>93</v>
      </c>
      <c r="C8" s="3" t="s">
        <v>94</v>
      </c>
      <c r="D8" s="3" t="s">
        <v>95</v>
      </c>
      <c r="E8" s="3">
        <v>30</v>
      </c>
      <c r="F8" s="3" t="s">
        <v>82</v>
      </c>
      <c r="G8" s="3" t="s">
        <v>96</v>
      </c>
      <c r="H8" s="3">
        <v>45000</v>
      </c>
      <c r="I8" s="16" t="s">
        <v>97</v>
      </c>
      <c r="J8" s="16" t="s">
        <v>98</v>
      </c>
      <c r="K8" s="26" t="s">
        <v>99</v>
      </c>
    </row>
    <row r="9" spans="1:11" hidden="1" x14ac:dyDescent="0.25">
      <c r="A9" s="19">
        <v>1002</v>
      </c>
      <c r="B9" s="3" t="s">
        <v>100</v>
      </c>
      <c r="C9" s="3" t="s">
        <v>101</v>
      </c>
      <c r="D9" s="3" t="s">
        <v>102</v>
      </c>
      <c r="E9" s="3">
        <v>30</v>
      </c>
      <c r="F9" s="3" t="s">
        <v>103</v>
      </c>
      <c r="G9" s="3" t="s">
        <v>104</v>
      </c>
      <c r="H9" s="3">
        <v>36000</v>
      </c>
      <c r="I9" s="16" t="s">
        <v>105</v>
      </c>
      <c r="J9" s="16" t="s">
        <v>106</v>
      </c>
      <c r="K9" s="26" t="s">
        <v>107</v>
      </c>
    </row>
    <row r="10" spans="1:11" x14ac:dyDescent="0.25">
      <c r="A10" s="22">
        <v>1003</v>
      </c>
      <c r="B10" s="23" t="s">
        <v>108</v>
      </c>
      <c r="C10" s="23" t="s">
        <v>109</v>
      </c>
      <c r="D10" s="23" t="s">
        <v>110</v>
      </c>
      <c r="E10" s="23">
        <v>29</v>
      </c>
      <c r="F10" s="23" t="s">
        <v>82</v>
      </c>
      <c r="G10" s="23" t="s">
        <v>96</v>
      </c>
      <c r="H10" s="23">
        <v>63000</v>
      </c>
      <c r="I10" s="24" t="s">
        <v>111</v>
      </c>
      <c r="J10" s="24" t="s">
        <v>112</v>
      </c>
      <c r="K10" s="27" t="s">
        <v>113</v>
      </c>
    </row>
  </sheetData>
  <hyperlinks>
    <hyperlink ref="B1" r:id="rId1" xr:uid="{7583FD65-F2D5-4185-A767-2EA5A593B72B}"/>
  </hyperlinks>
  <pageMargins left="0.7" right="0.7" top="0.75" bottom="0.75" header="0.3" footer="0.3"/>
  <drawing r:id="rId2"/>
  <legacyDrawing r:id="rId3"/>
  <tableParts count="1">
    <tablePart r:id="rId4"/>
  </tableParts>
  <extLst>
    <ext xmlns:x15="http://schemas.microsoft.com/office/spreadsheetml/2010/11/main" uri="{3A4CF648-6AED-40f4-86FF-DC5316D8AED3}">
      <x14:slicerList xmlns:x14="http://schemas.microsoft.com/office/spreadsheetml/2009/9/main">
        <x14:slicer r:id="rId5"/>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39F3E-948F-4A29-BA6A-479338A88B84}">
  <dimension ref="A1:B10"/>
  <sheetViews>
    <sheetView workbookViewId="0">
      <selection activeCell="G15" sqref="G15"/>
    </sheetView>
  </sheetViews>
  <sheetFormatPr defaultRowHeight="15" x14ac:dyDescent="0.25"/>
  <cols>
    <col min="1" max="1" width="11" bestFit="1" customWidth="1"/>
  </cols>
  <sheetData>
    <row r="1" spans="1:2" x14ac:dyDescent="0.25">
      <c r="A1" s="18" t="s">
        <v>71</v>
      </c>
      <c r="B1" s="18" t="s">
        <v>75</v>
      </c>
    </row>
    <row r="2" spans="1:2" x14ac:dyDescent="0.25">
      <c r="A2" s="31" t="s">
        <v>128</v>
      </c>
      <c r="B2" s="31">
        <v>55000</v>
      </c>
    </row>
    <row r="3" spans="1:2" x14ac:dyDescent="0.25">
      <c r="A3" s="32" t="s">
        <v>88</v>
      </c>
      <c r="B3" s="32">
        <v>65000</v>
      </c>
    </row>
    <row r="4" spans="1:2" x14ac:dyDescent="0.25">
      <c r="A4" s="31" t="s">
        <v>80</v>
      </c>
      <c r="B4" s="31">
        <v>50000</v>
      </c>
    </row>
    <row r="5" spans="1:2" x14ac:dyDescent="0.25">
      <c r="A5" s="32" t="s">
        <v>122</v>
      </c>
      <c r="B5" s="32">
        <v>41000</v>
      </c>
    </row>
    <row r="6" spans="1:2" x14ac:dyDescent="0.25">
      <c r="A6" s="31" t="s">
        <v>115</v>
      </c>
      <c r="B6" s="33">
        <v>47000</v>
      </c>
    </row>
    <row r="7" spans="1:2" x14ac:dyDescent="0.25">
      <c r="A7" s="32" t="s">
        <v>134</v>
      </c>
      <c r="B7" s="33">
        <v>42000</v>
      </c>
    </row>
    <row r="8" spans="1:2" x14ac:dyDescent="0.25">
      <c r="A8" s="31" t="s">
        <v>94</v>
      </c>
      <c r="B8" s="31">
        <v>45000</v>
      </c>
    </row>
    <row r="9" spans="1:2" x14ac:dyDescent="0.25">
      <c r="A9" s="32" t="s">
        <v>101</v>
      </c>
      <c r="B9" s="32">
        <v>36000</v>
      </c>
    </row>
    <row r="10" spans="1:2" x14ac:dyDescent="0.25">
      <c r="A10" s="31" t="s">
        <v>109</v>
      </c>
      <c r="B10" s="31">
        <v>63000</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01969-76B5-4FF7-B986-C0191FACF9EA}">
  <dimension ref="A1:B10"/>
  <sheetViews>
    <sheetView workbookViewId="0">
      <selection activeCell="E17" sqref="E17"/>
    </sheetView>
  </sheetViews>
  <sheetFormatPr defaultRowHeight="15" x14ac:dyDescent="0.25"/>
  <cols>
    <col min="1" max="1" width="44.5703125" bestFit="1" customWidth="1"/>
    <col min="2" max="2" width="27.28515625" bestFit="1" customWidth="1"/>
  </cols>
  <sheetData>
    <row r="1" spans="1:2" x14ac:dyDescent="0.25">
      <c r="A1" s="40" t="s">
        <v>78</v>
      </c>
    </row>
    <row r="2" spans="1:2" x14ac:dyDescent="0.25">
      <c r="A2" s="41" t="s">
        <v>139</v>
      </c>
      <c r="B2" t="s">
        <v>140</v>
      </c>
    </row>
    <row r="3" spans="1:2" x14ac:dyDescent="0.25">
      <c r="A3" s="42" t="s">
        <v>141</v>
      </c>
      <c r="B3" t="s">
        <v>142</v>
      </c>
    </row>
    <row r="4" spans="1:2" x14ac:dyDescent="0.25">
      <c r="A4" s="41" t="s">
        <v>143</v>
      </c>
      <c r="B4" t="s">
        <v>144</v>
      </c>
    </row>
    <row r="5" spans="1:2" x14ac:dyDescent="0.25">
      <c r="A5" s="42" t="s">
        <v>145</v>
      </c>
      <c r="B5" t="s">
        <v>146</v>
      </c>
    </row>
    <row r="6" spans="1:2" x14ac:dyDescent="0.25">
      <c r="A6" s="41" t="s">
        <v>147</v>
      </c>
      <c r="B6" t="s">
        <v>142</v>
      </c>
    </row>
    <row r="7" spans="1:2" x14ac:dyDescent="0.25">
      <c r="A7" s="42" t="s">
        <v>148</v>
      </c>
      <c r="B7" t="s">
        <v>142</v>
      </c>
    </row>
    <row r="8" spans="1:2" x14ac:dyDescent="0.25">
      <c r="A8" s="41" t="s">
        <v>149</v>
      </c>
      <c r="B8" t="s">
        <v>142</v>
      </c>
    </row>
    <row r="9" spans="1:2" x14ac:dyDescent="0.25">
      <c r="A9" s="42" t="s">
        <v>150</v>
      </c>
      <c r="B9" t="s">
        <v>142</v>
      </c>
    </row>
    <row r="10" spans="1:2" x14ac:dyDescent="0.25">
      <c r="A10" s="41" t="s">
        <v>151</v>
      </c>
      <c r="B10" t="s">
        <v>152</v>
      </c>
    </row>
  </sheetData>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5AC71-B47B-4098-A5B5-F66B3698D2ED}">
  <dimension ref="C1:H11"/>
  <sheetViews>
    <sheetView workbookViewId="0">
      <selection activeCell="H3" sqref="H3"/>
    </sheetView>
  </sheetViews>
  <sheetFormatPr defaultRowHeight="15" x14ac:dyDescent="0.25"/>
  <cols>
    <col min="3" max="3" width="17.42578125" bestFit="1" customWidth="1"/>
    <col min="7" max="7" width="17.42578125" bestFit="1" customWidth="1"/>
    <col min="8" max="8" width="16.140625" customWidth="1"/>
  </cols>
  <sheetData>
    <row r="1" spans="3:8" x14ac:dyDescent="0.25">
      <c r="C1" s="2" t="s">
        <v>138</v>
      </c>
      <c r="D1" s="2"/>
    </row>
    <row r="2" spans="3:8" x14ac:dyDescent="0.25">
      <c r="D2" s="37" t="s">
        <v>75</v>
      </c>
      <c r="G2" s="18" t="s">
        <v>74</v>
      </c>
      <c r="H2" s="39" t="s">
        <v>75</v>
      </c>
    </row>
    <row r="3" spans="3:8" x14ac:dyDescent="0.25">
      <c r="D3" s="34">
        <v>48000</v>
      </c>
      <c r="G3" s="31" t="s">
        <v>96</v>
      </c>
      <c r="H3">
        <v>50000</v>
      </c>
    </row>
    <row r="4" spans="3:8" x14ac:dyDescent="0.25">
      <c r="D4" s="35">
        <v>65000</v>
      </c>
      <c r="G4" s="32" t="s">
        <v>90</v>
      </c>
      <c r="H4">
        <v>47000</v>
      </c>
    </row>
    <row r="5" spans="3:8" x14ac:dyDescent="0.25">
      <c r="D5" s="34">
        <v>50000</v>
      </c>
      <c r="G5" s="31" t="s">
        <v>83</v>
      </c>
      <c r="H5">
        <v>41000</v>
      </c>
    </row>
    <row r="6" spans="3:8" x14ac:dyDescent="0.25">
      <c r="D6" s="35">
        <v>41000</v>
      </c>
      <c r="G6" s="32" t="s">
        <v>124</v>
      </c>
      <c r="H6">
        <v>50000</v>
      </c>
    </row>
    <row r="7" spans="3:8" x14ac:dyDescent="0.25">
      <c r="D7" s="36">
        <v>47000</v>
      </c>
      <c r="G7" s="33" t="s">
        <v>117</v>
      </c>
      <c r="H7">
        <v>47000</v>
      </c>
    </row>
    <row r="8" spans="3:8" x14ac:dyDescent="0.25">
      <c r="D8" s="36">
        <v>42000</v>
      </c>
      <c r="G8" s="33" t="s">
        <v>117</v>
      </c>
      <c r="H8">
        <v>47000</v>
      </c>
    </row>
    <row r="9" spans="3:8" x14ac:dyDescent="0.25">
      <c r="D9" s="34">
        <v>45000</v>
      </c>
      <c r="G9" s="31" t="s">
        <v>96</v>
      </c>
      <c r="H9">
        <v>50000</v>
      </c>
    </row>
    <row r="10" spans="3:8" x14ac:dyDescent="0.25">
      <c r="D10" s="35">
        <v>36000</v>
      </c>
      <c r="G10" s="32" t="s">
        <v>104</v>
      </c>
      <c r="H10">
        <v>50000</v>
      </c>
    </row>
    <row r="11" spans="3:8" x14ac:dyDescent="0.25">
      <c r="D11" s="38">
        <v>63000</v>
      </c>
      <c r="G11" s="31" t="s">
        <v>96</v>
      </c>
      <c r="H11">
        <v>50000</v>
      </c>
    </row>
  </sheetData>
  <dataValidations count="1">
    <dataValidation type="list" allowBlank="1" showInputMessage="1" showErrorMessage="1" sqref="H3:H11" xr:uid="{4437C251-EADA-44B3-AD9E-A57B2F0854EF}">
      <formula1>$D$3:$D$11</formula1>
    </dataValidation>
  </dataValidation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9CBEE-0B67-41C2-9378-6937DA983634}">
  <dimension ref="A1:K18"/>
  <sheetViews>
    <sheetView workbookViewId="0">
      <selection activeCell="K5" sqref="K5"/>
    </sheetView>
  </sheetViews>
  <sheetFormatPr defaultRowHeight="15" x14ac:dyDescent="0.25"/>
  <cols>
    <col min="1" max="1" width="11.140625" bestFit="1" customWidth="1"/>
    <col min="2" max="2" width="14.85546875" bestFit="1" customWidth="1"/>
    <col min="3" max="3" width="4.42578125" bestFit="1" customWidth="1"/>
    <col min="4" max="4" width="5.42578125" bestFit="1" customWidth="1"/>
    <col min="5" max="6" width="10.28515625" bestFit="1" customWidth="1"/>
    <col min="7" max="7" width="9.42578125" bestFit="1" customWidth="1"/>
    <col min="10" max="10" width="11.140625" bestFit="1" customWidth="1"/>
    <col min="11" max="11" width="9.42578125" bestFit="1" customWidth="1"/>
  </cols>
  <sheetData>
    <row r="1" spans="1:11" x14ac:dyDescent="0.25">
      <c r="A1" t="s">
        <v>153</v>
      </c>
      <c r="B1" t="s">
        <v>175</v>
      </c>
    </row>
    <row r="3" spans="1:11" x14ac:dyDescent="0.25">
      <c r="A3" s="44" t="s">
        <v>154</v>
      </c>
      <c r="B3" s="44" t="s">
        <v>73</v>
      </c>
      <c r="C3" s="44" t="s">
        <v>72</v>
      </c>
      <c r="D3" s="44" t="s">
        <v>155</v>
      </c>
      <c r="E3" s="44" t="s">
        <v>156</v>
      </c>
      <c r="F3" s="44" t="s">
        <v>157</v>
      </c>
      <c r="G3" s="44" t="s">
        <v>158</v>
      </c>
      <c r="J3" s="43" t="s">
        <v>154</v>
      </c>
      <c r="K3" s="43" t="s">
        <v>158</v>
      </c>
    </row>
    <row r="4" spans="1:11" x14ac:dyDescent="0.25">
      <c r="A4" s="4" t="s">
        <v>159</v>
      </c>
      <c r="B4" s="4" t="s">
        <v>160</v>
      </c>
      <c r="C4" s="4">
        <v>16</v>
      </c>
      <c r="D4" s="4">
        <v>10</v>
      </c>
      <c r="E4" s="4">
        <v>84</v>
      </c>
      <c r="F4" s="4">
        <v>79</v>
      </c>
      <c r="G4" s="4">
        <v>100</v>
      </c>
      <c r="J4" s="43" t="s">
        <v>161</v>
      </c>
      <c r="K4" s="43">
        <f>VLOOKUP(J4,$A$3:$G$18,7,0)</f>
        <v>98</v>
      </c>
    </row>
    <row r="5" spans="1:11" x14ac:dyDescent="0.25">
      <c r="A5" s="4" t="s">
        <v>162</v>
      </c>
      <c r="B5" s="4" t="s">
        <v>160</v>
      </c>
      <c r="C5" s="4">
        <v>11</v>
      </c>
      <c r="D5" s="4">
        <v>5</v>
      </c>
      <c r="E5" s="4">
        <v>82</v>
      </c>
      <c r="F5" s="4">
        <v>83</v>
      </c>
      <c r="G5" s="4">
        <v>91</v>
      </c>
      <c r="J5" s="43" t="s">
        <v>163</v>
      </c>
      <c r="K5" s="43">
        <f t="shared" ref="K5:K8" si="0">VLOOKUP(J5,$A$3:$G$18,7,0)</f>
        <v>96</v>
      </c>
    </row>
    <row r="6" spans="1:11" x14ac:dyDescent="0.25">
      <c r="A6" s="4" t="s">
        <v>164</v>
      </c>
      <c r="B6" s="4" t="s">
        <v>165</v>
      </c>
      <c r="C6" s="4">
        <v>15</v>
      </c>
      <c r="D6" s="4">
        <v>8</v>
      </c>
      <c r="E6" s="4">
        <v>81</v>
      </c>
      <c r="F6" s="4">
        <v>78</v>
      </c>
      <c r="G6" s="4">
        <v>88</v>
      </c>
      <c r="J6" s="43" t="s">
        <v>166</v>
      </c>
      <c r="K6" s="43">
        <f t="shared" si="0"/>
        <v>89</v>
      </c>
    </row>
    <row r="7" spans="1:11" x14ac:dyDescent="0.25">
      <c r="A7" s="4" t="s">
        <v>167</v>
      </c>
      <c r="B7" s="4" t="s">
        <v>160</v>
      </c>
      <c r="C7" s="4">
        <v>14</v>
      </c>
      <c r="D7" s="4">
        <v>8</v>
      </c>
      <c r="E7" s="4">
        <v>70</v>
      </c>
      <c r="F7" s="4">
        <v>75</v>
      </c>
      <c r="G7" s="4">
        <v>79</v>
      </c>
      <c r="J7" s="43" t="s">
        <v>168</v>
      </c>
      <c r="K7" s="43">
        <f t="shared" si="0"/>
        <v>80</v>
      </c>
    </row>
    <row r="8" spans="1:11" x14ac:dyDescent="0.25">
      <c r="A8" s="4" t="s">
        <v>163</v>
      </c>
      <c r="B8" s="4" t="s">
        <v>165</v>
      </c>
      <c r="C8" s="4">
        <v>16</v>
      </c>
      <c r="D8" s="4">
        <v>10</v>
      </c>
      <c r="E8" s="4">
        <v>88</v>
      </c>
      <c r="F8" s="4">
        <v>92</v>
      </c>
      <c r="G8" s="4">
        <v>96</v>
      </c>
      <c r="J8" s="43" t="s">
        <v>159</v>
      </c>
      <c r="K8" s="43">
        <f t="shared" si="0"/>
        <v>100</v>
      </c>
    </row>
    <row r="9" spans="1:11" x14ac:dyDescent="0.25">
      <c r="A9" s="4" t="s">
        <v>168</v>
      </c>
      <c r="B9" s="4" t="s">
        <v>160</v>
      </c>
      <c r="C9" s="4">
        <v>16</v>
      </c>
      <c r="D9" s="4">
        <v>10</v>
      </c>
      <c r="E9" s="4">
        <v>82</v>
      </c>
      <c r="F9" s="4">
        <v>81</v>
      </c>
      <c r="G9" s="4">
        <v>80</v>
      </c>
    </row>
    <row r="10" spans="1:11" x14ac:dyDescent="0.25">
      <c r="A10" s="4" t="s">
        <v>169</v>
      </c>
      <c r="B10" s="4" t="s">
        <v>165</v>
      </c>
      <c r="C10" s="4">
        <v>14</v>
      </c>
      <c r="D10" s="4">
        <v>8</v>
      </c>
      <c r="E10" s="4">
        <v>90</v>
      </c>
      <c r="F10" s="4">
        <v>86</v>
      </c>
      <c r="G10" s="4">
        <v>89</v>
      </c>
    </row>
    <row r="11" spans="1:11" x14ac:dyDescent="0.25">
      <c r="A11" s="4" t="s">
        <v>170</v>
      </c>
      <c r="B11" s="4" t="s">
        <v>160</v>
      </c>
      <c r="C11" s="4">
        <v>15</v>
      </c>
      <c r="D11" s="4">
        <v>9</v>
      </c>
      <c r="E11" s="4">
        <v>87</v>
      </c>
      <c r="F11" s="4">
        <v>89</v>
      </c>
      <c r="G11" s="4">
        <v>96</v>
      </c>
    </row>
    <row r="12" spans="1:11" x14ac:dyDescent="0.25">
      <c r="A12" s="4" t="s">
        <v>171</v>
      </c>
      <c r="B12" s="4" t="s">
        <v>165</v>
      </c>
      <c r="C12" s="4">
        <v>17</v>
      </c>
      <c r="D12" s="4">
        <v>10</v>
      </c>
      <c r="E12" s="4">
        <v>70</v>
      </c>
      <c r="F12" s="4">
        <v>90</v>
      </c>
      <c r="G12" s="4">
        <v>92</v>
      </c>
    </row>
    <row r="13" spans="1:11" x14ac:dyDescent="0.25">
      <c r="A13" s="4" t="s">
        <v>168</v>
      </c>
      <c r="B13" s="4" t="s">
        <v>160</v>
      </c>
      <c r="C13" s="4">
        <v>11</v>
      </c>
      <c r="D13" s="4">
        <v>6</v>
      </c>
      <c r="E13" s="4">
        <v>91</v>
      </c>
      <c r="F13" s="4">
        <v>81</v>
      </c>
      <c r="G13" s="4">
        <v>95</v>
      </c>
    </row>
    <row r="14" spans="1:11" x14ac:dyDescent="0.25">
      <c r="A14" s="4" t="s">
        <v>166</v>
      </c>
      <c r="B14" s="4" t="s">
        <v>160</v>
      </c>
      <c r="C14" s="4">
        <v>12</v>
      </c>
      <c r="D14" s="4">
        <v>7</v>
      </c>
      <c r="E14" s="4">
        <v>86</v>
      </c>
      <c r="F14" s="4">
        <v>92</v>
      </c>
      <c r="G14" s="4">
        <v>89</v>
      </c>
    </row>
    <row r="15" spans="1:11" x14ac:dyDescent="0.25">
      <c r="A15" s="4" t="s">
        <v>172</v>
      </c>
      <c r="B15" s="4" t="s">
        <v>165</v>
      </c>
      <c r="C15" s="4">
        <v>16</v>
      </c>
      <c r="D15" s="4">
        <v>10</v>
      </c>
      <c r="E15" s="4">
        <v>81</v>
      </c>
      <c r="F15" s="4">
        <v>80</v>
      </c>
      <c r="G15" s="4">
        <v>87</v>
      </c>
    </row>
    <row r="16" spans="1:11" x14ac:dyDescent="0.25">
      <c r="A16" s="4" t="s">
        <v>173</v>
      </c>
      <c r="B16" s="4" t="s">
        <v>165</v>
      </c>
      <c r="C16" s="4">
        <v>11</v>
      </c>
      <c r="D16" s="4">
        <v>6</v>
      </c>
      <c r="E16" s="4">
        <v>88</v>
      </c>
      <c r="F16" s="4">
        <v>90</v>
      </c>
      <c r="G16" s="4">
        <v>92</v>
      </c>
    </row>
    <row r="17" spans="1:7" x14ac:dyDescent="0.25">
      <c r="A17" s="4" t="s">
        <v>174</v>
      </c>
      <c r="B17" s="4" t="s">
        <v>165</v>
      </c>
      <c r="C17" s="4">
        <v>16</v>
      </c>
      <c r="D17" s="4">
        <v>10</v>
      </c>
      <c r="E17" s="4">
        <v>70</v>
      </c>
      <c r="F17" s="4">
        <v>87</v>
      </c>
      <c r="G17" s="4">
        <v>85</v>
      </c>
    </row>
    <row r="18" spans="1:7" x14ac:dyDescent="0.25">
      <c r="A18" s="4" t="s">
        <v>161</v>
      </c>
      <c r="B18" s="4" t="s">
        <v>165</v>
      </c>
      <c r="C18" s="4">
        <v>14</v>
      </c>
      <c r="D18" s="4">
        <v>8</v>
      </c>
      <c r="E18" s="4">
        <v>91</v>
      </c>
      <c r="F18" s="4">
        <v>96</v>
      </c>
      <c r="G18" s="4">
        <v>98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96DCF-8A6E-4F65-9B06-A1F4705EA65B}">
  <dimension ref="A3:C11"/>
  <sheetViews>
    <sheetView workbookViewId="0">
      <selection activeCell="C5" sqref="C5"/>
    </sheetView>
  </sheetViews>
  <sheetFormatPr defaultRowHeight="15" x14ac:dyDescent="0.25"/>
  <cols>
    <col min="1" max="1" width="13.140625" bestFit="1" customWidth="1"/>
    <col min="2" max="2" width="10" bestFit="1" customWidth="1"/>
    <col min="3" max="3" width="16.140625" bestFit="1" customWidth="1"/>
  </cols>
  <sheetData>
    <row r="3" spans="1:3" x14ac:dyDescent="0.25">
      <c r="A3" s="45" t="s">
        <v>187</v>
      </c>
      <c r="B3" s="45" t="s">
        <v>73</v>
      </c>
      <c r="C3" t="s">
        <v>189</v>
      </c>
    </row>
    <row r="4" spans="1:3" x14ac:dyDescent="0.25">
      <c r="A4" t="s">
        <v>178</v>
      </c>
      <c r="B4" t="s">
        <v>165</v>
      </c>
      <c r="C4" s="46">
        <v>460</v>
      </c>
    </row>
    <row r="5" spans="1:3" x14ac:dyDescent="0.25">
      <c r="B5" t="s">
        <v>160</v>
      </c>
      <c r="C5" s="46">
        <v>186</v>
      </c>
    </row>
    <row r="6" spans="1:3" x14ac:dyDescent="0.25">
      <c r="A6" t="s">
        <v>176</v>
      </c>
      <c r="B6" t="s">
        <v>165</v>
      </c>
      <c r="C6" s="46">
        <v>194</v>
      </c>
    </row>
    <row r="7" spans="1:3" x14ac:dyDescent="0.25">
      <c r="B7" t="s">
        <v>160</v>
      </c>
      <c r="C7" s="46">
        <v>362</v>
      </c>
    </row>
    <row r="8" spans="1:3" x14ac:dyDescent="0.25">
      <c r="A8" t="s">
        <v>180</v>
      </c>
      <c r="B8" t="s">
        <v>165</v>
      </c>
      <c r="C8" s="46">
        <v>351</v>
      </c>
    </row>
    <row r="9" spans="1:3" x14ac:dyDescent="0.25">
      <c r="B9" t="s">
        <v>160</v>
      </c>
      <c r="C9" s="46">
        <v>89</v>
      </c>
    </row>
    <row r="10" spans="1:3" x14ac:dyDescent="0.25">
      <c r="A10" t="s">
        <v>177</v>
      </c>
      <c r="B10" t="s">
        <v>165</v>
      </c>
      <c r="C10" s="46">
        <v>85</v>
      </c>
    </row>
    <row r="11" spans="1:3" x14ac:dyDescent="0.25">
      <c r="B11" t="s">
        <v>160</v>
      </c>
      <c r="C11" s="46">
        <v>259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75BEFB-62CE-4DF0-B010-D313BFDFFFCF}">
  <dimension ref="A1:I23"/>
  <sheetViews>
    <sheetView topLeftCell="A4" workbookViewId="0">
      <selection activeCell="G7" sqref="G7"/>
    </sheetView>
  </sheetViews>
  <sheetFormatPr defaultRowHeight="15" x14ac:dyDescent="0.25"/>
  <cols>
    <col min="1" max="1" width="11.140625" bestFit="1" customWidth="1"/>
    <col min="6" max="7" width="10.28515625" bestFit="1" customWidth="1"/>
    <col min="8" max="8" width="9.42578125" bestFit="1" customWidth="1"/>
    <col min="9" max="9" width="15" bestFit="1" customWidth="1"/>
  </cols>
  <sheetData>
    <row r="1" spans="1:9" x14ac:dyDescent="0.25">
      <c r="A1" s="43" t="s">
        <v>154</v>
      </c>
      <c r="B1" s="43" t="s">
        <v>73</v>
      </c>
      <c r="C1" s="43" t="s">
        <v>72</v>
      </c>
      <c r="D1" s="43" t="s">
        <v>155</v>
      </c>
      <c r="E1" s="43" t="s">
        <v>187</v>
      </c>
      <c r="F1" s="43" t="s">
        <v>156</v>
      </c>
      <c r="G1" s="43" t="s">
        <v>157</v>
      </c>
      <c r="H1" s="43" t="s">
        <v>158</v>
      </c>
      <c r="I1" s="47" t="s">
        <v>190</v>
      </c>
    </row>
    <row r="2" spans="1:9" x14ac:dyDescent="0.25">
      <c r="A2" s="4" t="s">
        <v>159</v>
      </c>
      <c r="B2" s="4" t="s">
        <v>160</v>
      </c>
      <c r="C2" s="4">
        <v>16</v>
      </c>
      <c r="D2" s="4">
        <v>10</v>
      </c>
      <c r="E2" s="4" t="s">
        <v>177</v>
      </c>
      <c r="F2" s="4">
        <v>84</v>
      </c>
      <c r="G2" s="4">
        <v>79</v>
      </c>
      <c r="H2" s="4">
        <v>100</v>
      </c>
    </row>
    <row r="3" spans="1:9" x14ac:dyDescent="0.25">
      <c r="A3" s="4" t="s">
        <v>162</v>
      </c>
      <c r="B3" s="4" t="s">
        <v>160</v>
      </c>
      <c r="C3" s="4">
        <v>11</v>
      </c>
      <c r="D3" s="4">
        <v>5</v>
      </c>
      <c r="E3" s="4" t="s">
        <v>178</v>
      </c>
      <c r="F3" s="4">
        <v>82</v>
      </c>
      <c r="G3" s="4">
        <v>83</v>
      </c>
      <c r="H3" s="4">
        <v>91</v>
      </c>
    </row>
    <row r="4" spans="1:9" x14ac:dyDescent="0.25">
      <c r="A4" s="4" t="s">
        <v>164</v>
      </c>
      <c r="B4" s="4" t="s">
        <v>165</v>
      </c>
      <c r="C4" s="4">
        <v>15</v>
      </c>
      <c r="D4" s="4">
        <v>8</v>
      </c>
      <c r="E4" s="4" t="s">
        <v>180</v>
      </c>
      <c r="F4" s="4">
        <v>81</v>
      </c>
      <c r="G4" s="4">
        <v>78</v>
      </c>
      <c r="H4" s="4">
        <v>88</v>
      </c>
    </row>
    <row r="5" spans="1:9" x14ac:dyDescent="0.25">
      <c r="A5" s="4" t="s">
        <v>167</v>
      </c>
      <c r="B5" s="4" t="s">
        <v>160</v>
      </c>
      <c r="C5" s="4">
        <v>14</v>
      </c>
      <c r="D5" s="4">
        <v>8</v>
      </c>
      <c r="E5" s="4" t="s">
        <v>177</v>
      </c>
      <c r="F5" s="4">
        <v>70</v>
      </c>
      <c r="G5" s="4">
        <v>75</v>
      </c>
      <c r="H5" s="4">
        <v>79</v>
      </c>
    </row>
    <row r="6" spans="1:9" x14ac:dyDescent="0.25">
      <c r="A6" s="4" t="s">
        <v>163</v>
      </c>
      <c r="B6" s="4" t="s">
        <v>165</v>
      </c>
      <c r="C6" s="4">
        <v>16</v>
      </c>
      <c r="D6" s="4">
        <v>10</v>
      </c>
      <c r="E6" s="4" t="s">
        <v>176</v>
      </c>
      <c r="F6" s="4">
        <v>88</v>
      </c>
      <c r="G6" s="4">
        <v>92</v>
      </c>
      <c r="H6" s="4">
        <v>96</v>
      </c>
    </row>
    <row r="7" spans="1:9" x14ac:dyDescent="0.25">
      <c r="A7" s="4" t="s">
        <v>168</v>
      </c>
      <c r="B7" s="4" t="s">
        <v>160</v>
      </c>
      <c r="C7" s="4">
        <v>16</v>
      </c>
      <c r="D7" s="4">
        <v>10</v>
      </c>
      <c r="E7" s="4" t="s">
        <v>177</v>
      </c>
      <c r="F7" s="4">
        <v>82</v>
      </c>
      <c r="G7" s="4">
        <v>81</v>
      </c>
      <c r="H7" s="4">
        <v>80</v>
      </c>
    </row>
    <row r="8" spans="1:9" x14ac:dyDescent="0.25">
      <c r="A8" s="4" t="s">
        <v>169</v>
      </c>
      <c r="B8" s="4" t="s">
        <v>165</v>
      </c>
      <c r="C8" s="4">
        <v>14</v>
      </c>
      <c r="D8" s="4">
        <v>8</v>
      </c>
      <c r="E8" s="4" t="s">
        <v>178</v>
      </c>
      <c r="F8" s="4">
        <v>90</v>
      </c>
      <c r="G8" s="4">
        <v>86</v>
      </c>
      <c r="H8" s="4">
        <v>89</v>
      </c>
    </row>
    <row r="9" spans="1:9" x14ac:dyDescent="0.25">
      <c r="A9" s="4" t="s">
        <v>170</v>
      </c>
      <c r="B9" s="4" t="s">
        <v>160</v>
      </c>
      <c r="C9" s="4">
        <v>15</v>
      </c>
      <c r="D9" s="4">
        <v>9</v>
      </c>
      <c r="E9" s="4" t="s">
        <v>176</v>
      </c>
      <c r="F9" s="4">
        <v>87</v>
      </c>
      <c r="G9" s="4">
        <v>89</v>
      </c>
      <c r="H9" s="4">
        <v>96</v>
      </c>
    </row>
    <row r="10" spans="1:9" x14ac:dyDescent="0.25">
      <c r="A10" s="4" t="s">
        <v>171</v>
      </c>
      <c r="B10" s="4" t="s">
        <v>165</v>
      </c>
      <c r="C10" s="4">
        <v>17</v>
      </c>
      <c r="D10" s="4">
        <v>10</v>
      </c>
      <c r="E10" s="4" t="s">
        <v>178</v>
      </c>
      <c r="F10" s="4">
        <v>70</v>
      </c>
      <c r="G10" s="4">
        <v>90</v>
      </c>
      <c r="H10" s="4">
        <v>92</v>
      </c>
    </row>
    <row r="11" spans="1:9" x14ac:dyDescent="0.25">
      <c r="A11" s="4" t="s">
        <v>166</v>
      </c>
      <c r="B11" s="4" t="s">
        <v>160</v>
      </c>
      <c r="C11" s="4">
        <v>12</v>
      </c>
      <c r="D11" s="4">
        <v>7</v>
      </c>
      <c r="E11" s="4" t="s">
        <v>180</v>
      </c>
      <c r="F11" s="4">
        <v>86</v>
      </c>
      <c r="G11" s="4">
        <v>92</v>
      </c>
      <c r="H11" s="4">
        <v>89</v>
      </c>
    </row>
    <row r="12" spans="1:9" x14ac:dyDescent="0.25">
      <c r="A12" s="4" t="s">
        <v>186</v>
      </c>
      <c r="B12" s="4" t="s">
        <v>160</v>
      </c>
      <c r="C12" s="4">
        <v>11</v>
      </c>
      <c r="D12" s="4">
        <v>6</v>
      </c>
      <c r="E12" s="4" t="s">
        <v>176</v>
      </c>
      <c r="F12" s="4">
        <v>91</v>
      </c>
      <c r="G12" s="4">
        <v>81</v>
      </c>
      <c r="H12" s="4">
        <v>94</v>
      </c>
    </row>
    <row r="13" spans="1:9" x14ac:dyDescent="0.25">
      <c r="A13" s="4" t="s">
        <v>16</v>
      </c>
      <c r="B13" s="4" t="s">
        <v>160</v>
      </c>
      <c r="C13" s="4">
        <v>16</v>
      </c>
      <c r="D13" s="4">
        <v>10</v>
      </c>
      <c r="E13" s="4" t="s">
        <v>176</v>
      </c>
      <c r="F13" s="4">
        <v>86</v>
      </c>
      <c r="G13" s="4">
        <v>81</v>
      </c>
      <c r="H13" s="4">
        <v>77</v>
      </c>
    </row>
    <row r="14" spans="1:9" x14ac:dyDescent="0.25">
      <c r="A14" s="4" t="s">
        <v>185</v>
      </c>
      <c r="B14" s="4" t="s">
        <v>160</v>
      </c>
      <c r="C14" s="4">
        <v>15</v>
      </c>
      <c r="D14" s="4">
        <v>9</v>
      </c>
      <c r="E14" s="4" t="s">
        <v>176</v>
      </c>
      <c r="F14" s="4">
        <v>87</v>
      </c>
      <c r="G14" s="4">
        <v>89</v>
      </c>
      <c r="H14" s="4">
        <v>95</v>
      </c>
    </row>
    <row r="15" spans="1:9" x14ac:dyDescent="0.25">
      <c r="A15" s="4" t="s">
        <v>184</v>
      </c>
      <c r="B15" s="4" t="s">
        <v>165</v>
      </c>
      <c r="C15" s="4">
        <v>15</v>
      </c>
      <c r="D15" s="4">
        <v>8</v>
      </c>
      <c r="E15" s="4" t="s">
        <v>178</v>
      </c>
      <c r="F15" s="4">
        <v>81</v>
      </c>
      <c r="G15" s="4">
        <v>90</v>
      </c>
      <c r="H15" s="4">
        <v>95</v>
      </c>
    </row>
    <row r="16" spans="1:9" x14ac:dyDescent="0.25">
      <c r="A16" s="4" t="s">
        <v>183</v>
      </c>
      <c r="B16" s="4" t="s">
        <v>165</v>
      </c>
      <c r="C16" s="4">
        <v>17</v>
      </c>
      <c r="D16" s="4">
        <v>10</v>
      </c>
      <c r="E16" s="4" t="s">
        <v>178</v>
      </c>
      <c r="F16" s="4">
        <v>70</v>
      </c>
      <c r="G16" s="4">
        <v>90</v>
      </c>
      <c r="H16" s="4">
        <v>92</v>
      </c>
    </row>
    <row r="17" spans="1:8" x14ac:dyDescent="0.25">
      <c r="A17" s="4" t="s">
        <v>182</v>
      </c>
      <c r="B17" s="4" t="s">
        <v>165</v>
      </c>
      <c r="C17" s="4">
        <v>12</v>
      </c>
      <c r="D17" s="4">
        <v>7</v>
      </c>
      <c r="E17" s="4" t="s">
        <v>180</v>
      </c>
      <c r="F17" s="4">
        <v>86</v>
      </c>
      <c r="G17" s="4">
        <v>92</v>
      </c>
      <c r="H17" s="4">
        <v>89</v>
      </c>
    </row>
    <row r="18" spans="1:8" x14ac:dyDescent="0.25">
      <c r="A18" s="4" t="s">
        <v>181</v>
      </c>
      <c r="B18" s="4" t="s">
        <v>165</v>
      </c>
      <c r="C18" s="4">
        <v>16</v>
      </c>
      <c r="D18" s="4">
        <v>10</v>
      </c>
      <c r="E18" s="4" t="s">
        <v>180</v>
      </c>
      <c r="F18" s="4">
        <v>81</v>
      </c>
      <c r="G18" s="4">
        <v>80</v>
      </c>
      <c r="H18" s="4">
        <v>87</v>
      </c>
    </row>
    <row r="19" spans="1:8" x14ac:dyDescent="0.25">
      <c r="A19" s="4" t="s">
        <v>172</v>
      </c>
      <c r="B19" s="4" t="s">
        <v>165</v>
      </c>
      <c r="C19" s="4">
        <v>16</v>
      </c>
      <c r="D19" s="4">
        <v>10</v>
      </c>
      <c r="E19" s="4" t="s">
        <v>180</v>
      </c>
      <c r="F19" s="4">
        <v>81</v>
      </c>
      <c r="G19" s="4">
        <v>80</v>
      </c>
      <c r="H19" s="4">
        <v>87</v>
      </c>
    </row>
    <row r="20" spans="1:8" x14ac:dyDescent="0.25">
      <c r="A20" s="4" t="s">
        <v>179</v>
      </c>
      <c r="B20" s="4" t="s">
        <v>160</v>
      </c>
      <c r="C20" s="4">
        <v>15</v>
      </c>
      <c r="D20" s="4">
        <v>9</v>
      </c>
      <c r="E20" s="4" t="s">
        <v>178</v>
      </c>
      <c r="F20" s="4">
        <v>87</v>
      </c>
      <c r="G20" s="4">
        <v>89</v>
      </c>
      <c r="H20" s="4">
        <v>95</v>
      </c>
    </row>
    <row r="21" spans="1:8" x14ac:dyDescent="0.25">
      <c r="A21" s="4" t="s">
        <v>173</v>
      </c>
      <c r="B21" s="4" t="s">
        <v>165</v>
      </c>
      <c r="C21" s="4">
        <v>11</v>
      </c>
      <c r="D21" s="4">
        <v>6</v>
      </c>
      <c r="E21" s="4" t="s">
        <v>178</v>
      </c>
      <c r="F21" s="4">
        <v>88</v>
      </c>
      <c r="G21" s="4">
        <v>90</v>
      </c>
      <c r="H21" s="4">
        <v>92</v>
      </c>
    </row>
    <row r="22" spans="1:8" x14ac:dyDescent="0.25">
      <c r="A22" s="4" t="s">
        <v>174</v>
      </c>
      <c r="B22" s="4" t="s">
        <v>165</v>
      </c>
      <c r="C22" s="4">
        <v>16</v>
      </c>
      <c r="D22" s="4">
        <v>10</v>
      </c>
      <c r="E22" s="4" t="s">
        <v>177</v>
      </c>
      <c r="F22" s="4">
        <v>70</v>
      </c>
      <c r="G22" s="4">
        <v>87</v>
      </c>
      <c r="H22" s="4">
        <v>85</v>
      </c>
    </row>
    <row r="23" spans="1:8" x14ac:dyDescent="0.25">
      <c r="A23" s="4" t="s">
        <v>161</v>
      </c>
      <c r="B23" s="4" t="s">
        <v>165</v>
      </c>
      <c r="C23" s="4">
        <v>14</v>
      </c>
      <c r="D23" s="4">
        <v>8</v>
      </c>
      <c r="E23" s="4" t="s">
        <v>176</v>
      </c>
      <c r="F23" s="4">
        <v>91</v>
      </c>
      <c r="G23" s="4">
        <v>96</v>
      </c>
      <c r="H23" s="4">
        <v>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Topic</vt:lpstr>
      <vt:lpstr>Sheet1</vt:lpstr>
      <vt:lpstr>PROJECT1</vt:lpstr>
      <vt:lpstr>PROJECT2</vt:lpstr>
      <vt:lpstr>Autofill</vt:lpstr>
      <vt:lpstr>Sheet5</vt:lpstr>
      <vt:lpstr>Chart</vt:lpstr>
      <vt:lpstr>Split</vt:lpstr>
      <vt:lpstr>DROP DOWN</vt:lpstr>
      <vt:lpstr>VLOOKUP</vt:lpstr>
      <vt:lpstr>Sheet11</vt:lpstr>
      <vt:lpstr>Pivot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Hari</dc:creator>
  <cp:lastModifiedBy>Hari Gupta</cp:lastModifiedBy>
  <dcterms:created xsi:type="dcterms:W3CDTF">2015-06-05T18:17:20Z</dcterms:created>
  <dcterms:modified xsi:type="dcterms:W3CDTF">2025-07-05T09:56:14Z</dcterms:modified>
</cp:coreProperties>
</file>