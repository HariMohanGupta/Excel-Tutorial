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\Desktop\NEW_STRAT\"/>
    </mc:Choice>
  </mc:AlternateContent>
  <xr:revisionPtr revIDLastSave="0" documentId="13_ncr:81_{EB5C0C2E-4933-4830-A20C-7AF70EA500DD}" xr6:coauthVersionLast="47" xr6:coauthVersionMax="47" xr10:uidLastSave="{00000000-0000-0000-0000-000000000000}"/>
  <bookViews>
    <workbookView xWindow="-120" yWindow="-120" windowWidth="20730" windowHeight="11040" tabRatio="850" activeTab="5" xr2:uid="{00000000-000D-0000-FFFF-FFFF00000000}"/>
  </bookViews>
  <sheets>
    <sheet name="employees" sheetId="1" r:id="rId1"/>
    <sheet name="COREL" sheetId="2" r:id="rId2"/>
    <sheet name="Module2" sheetId="3" r:id="rId3"/>
    <sheet name="Index &amp; Match" sheetId="4" r:id="rId4"/>
    <sheet name="Module3" sheetId="5" r:id="rId5"/>
    <sheet name="Offset" sheetId="6" r:id="rId6"/>
    <sheet name="Scenario Summary" sheetId="7" r:id="rId7"/>
    <sheet name="Module4" sheetId="8" r:id="rId8"/>
    <sheet name="Sheet1" sheetId="9" r:id="rId9"/>
    <sheet name="Practice" sheetId="10" r:id="rId10"/>
    <sheet name="Sheet2" sheetId="11" r:id="rId11"/>
    <sheet name="Sheet3" sheetId="12" r:id="rId12"/>
  </sheets>
  <definedNames>
    <definedName name="_xlnm._FilterDatabase" localSheetId="0" hidden="1">employees!$A$1:$K$51</definedName>
    <definedName name="_xlnm._FilterDatabase" localSheetId="2" hidden="1">Module2!$H$1:$H$51</definedName>
    <definedName name="_xlnm._FilterDatabase" localSheetId="7" hidden="1">Module4!$N$97:$Q$102</definedName>
    <definedName name="Dataset">Module3!$A$88:$C$90</definedName>
    <definedName name="Maths">Module3!$B$99:$B$106</definedName>
    <definedName name="Students_Name">Module3!$A$99:$A$106</definedName>
    <definedName name="Z_17B4BC62_A64E_4181_AF33_17F939339C15_.wvu.FilterData" localSheetId="0" hidden="1">employees!$A$1:$K$51</definedName>
    <definedName name="Z_17B4BC62_A64E_4181_AF33_17F939339C15_.wvu.FilterData" localSheetId="2" hidden="1">Module2!$H$1:$H$51</definedName>
    <definedName name="Z_17B4BC62_A64E_4181_AF33_17F939339C15_.wvu.FilterData" localSheetId="7" hidden="1">Module4!$N$97:$Q$102</definedName>
    <definedName name="Z_17B4BC62_A64E_4181_AF33_17F939339C15_.wvu.Rows" localSheetId="6" hidden="1">'Scenario Summary'!$4:$4</definedName>
  </definedNames>
  <calcPr calcId="191029" concurrentCalc="0"/>
  <customWorkbookViews>
    <customWorkbookView name="Hari - Personal View" guid="{17B4BC62-A64E-4181-AF33-17F939339C15}" mergeInterval="0" personalView="1" maximized="1" xWindow="-8" yWindow="-8" windowWidth="1382" windowHeight="736" tabRatio="85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6" l="1"/>
  <c r="F4" i="6"/>
  <c r="L5" i="6"/>
  <c r="G14" i="6"/>
  <c r="E11" i="6"/>
  <c r="E10" i="6"/>
  <c r="E9" i="6"/>
  <c r="E7" i="6"/>
  <c r="H11" i="4"/>
  <c r="I9" i="4"/>
  <c r="I8" i="4"/>
  <c r="I6" i="4"/>
  <c r="I3" i="4"/>
  <c r="I5" i="4"/>
  <c r="I2" i="4"/>
  <c r="D12" i="2"/>
  <c r="D2" i="2"/>
  <c r="L49" i="1"/>
  <c r="L48" i="1"/>
  <c r="L47" i="1"/>
  <c r="L46" i="1"/>
  <c r="L45" i="1"/>
  <c r="L44" i="1"/>
  <c r="L43" i="1"/>
  <c r="L34" i="1"/>
  <c r="L30" i="1"/>
  <c r="L29" i="1"/>
  <c r="L26" i="1"/>
  <c r="L25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O3" i="12"/>
  <c r="O4" i="12"/>
  <c r="O5" i="12"/>
  <c r="O6" i="12"/>
  <c r="O2" i="12"/>
  <c r="M3" i="12"/>
  <c r="L3" i="12"/>
  <c r="C13" i="12"/>
  <c r="C14" i="12"/>
  <c r="C15" i="12"/>
  <c r="C16" i="12"/>
  <c r="C12" i="12"/>
  <c r="C7" i="12"/>
  <c r="D7" i="12"/>
  <c r="E2" i="12"/>
  <c r="E3" i="12"/>
  <c r="E4" i="12"/>
  <c r="E5" i="12"/>
  <c r="E6" i="12"/>
  <c r="E7" i="12"/>
  <c r="B7" i="12"/>
  <c r="C20" i="11"/>
  <c r="C19" i="11"/>
  <c r="O9" i="1"/>
  <c r="B4" i="11"/>
  <c r="P6" i="1"/>
  <c r="A4" i="11"/>
  <c r="P3" i="9"/>
  <c r="P4" i="9"/>
  <c r="P5" i="9"/>
  <c r="A8" i="11"/>
  <c r="A7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5" i="11"/>
  <c r="A6" i="11"/>
  <c r="M46" i="1"/>
  <c r="M19" i="1"/>
  <c r="R8" i="1"/>
  <c r="Q9" i="1"/>
  <c r="A9" i="11"/>
  <c r="D5" i="10"/>
  <c r="D4" i="10"/>
  <c r="F2" i="10"/>
  <c r="D3" i="10"/>
  <c r="D2" i="10"/>
  <c r="Q3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O29" i="1"/>
  <c r="O28" i="1"/>
  <c r="O21" i="1"/>
  <c r="Q19" i="1"/>
  <c r="R19" i="1"/>
  <c r="H10" i="4"/>
  <c r="H8" i="4"/>
  <c r="G8" i="4"/>
  <c r="F10" i="4"/>
  <c r="E6" i="6"/>
  <c r="D12" i="4"/>
  <c r="D11" i="4"/>
  <c r="F13" i="4"/>
  <c r="F12" i="4"/>
  <c r="F11" i="4"/>
  <c r="P39" i="1"/>
  <c r="P38" i="1"/>
  <c r="Q36" i="1"/>
  <c r="O17" i="1"/>
  <c r="M3" i="9"/>
  <c r="M4" i="9"/>
  <c r="M5" i="9"/>
  <c r="M6" i="9"/>
  <c r="M2" i="9"/>
  <c r="N3" i="9"/>
  <c r="N4" i="9"/>
  <c r="N5" i="9"/>
  <c r="N6" i="9"/>
  <c r="N7" i="9"/>
  <c r="N8" i="9"/>
  <c r="N9" i="9"/>
  <c r="N10" i="9"/>
  <c r="N11" i="9"/>
  <c r="N12" i="9"/>
  <c r="N2" i="9"/>
  <c r="L2" i="9"/>
  <c r="L3" i="9"/>
  <c r="L4" i="9"/>
  <c r="L5" i="9"/>
  <c r="L6" i="9"/>
  <c r="L7" i="9"/>
  <c r="R4" i="9"/>
  <c r="T1" i="9"/>
  <c r="T2" i="9"/>
  <c r="S6" i="9"/>
  <c r="S5" i="9"/>
  <c r="R3" i="9"/>
  <c r="R2" i="9"/>
  <c r="P2" i="9"/>
  <c r="O1" i="9"/>
  <c r="F1" i="2"/>
  <c r="O49" i="1"/>
  <c r="O48" i="1"/>
  <c r="O47" i="1"/>
  <c r="O46" i="1"/>
  <c r="O45" i="1"/>
  <c r="O44" i="1"/>
  <c r="O43" i="1"/>
  <c r="D92" i="8"/>
  <c r="J102" i="8"/>
  <c r="L87" i="8"/>
  <c r="C144" i="8"/>
  <c r="B129" i="8"/>
  <c r="B130" i="8"/>
  <c r="D131" i="8"/>
  <c r="B114" i="8"/>
  <c r="C104" i="8"/>
  <c r="D95" i="8"/>
  <c r="D93" i="8"/>
  <c r="D94" i="8"/>
  <c r="D96" i="8"/>
  <c r="B88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15" i="8"/>
  <c r="E93" i="5"/>
  <c r="C93" i="5"/>
  <c r="D89" i="5"/>
  <c r="D90" i="5"/>
  <c r="D88" i="5"/>
  <c r="I24" i="5"/>
  <c r="J24" i="5"/>
  <c r="K24" i="5"/>
  <c r="N24" i="5"/>
  <c r="O24" i="5"/>
  <c r="I25" i="5"/>
  <c r="J25" i="5"/>
  <c r="K25" i="5"/>
  <c r="N25" i="5"/>
  <c r="O25" i="5"/>
  <c r="I26" i="5"/>
  <c r="J26" i="5"/>
  <c r="K26" i="5"/>
  <c r="N26" i="5"/>
  <c r="O26" i="5"/>
  <c r="I27" i="5"/>
  <c r="J27" i="5"/>
  <c r="K27" i="5"/>
  <c r="N27" i="5"/>
  <c r="O27" i="5"/>
  <c r="I28" i="5"/>
  <c r="J28" i="5"/>
  <c r="K28" i="5"/>
  <c r="N28" i="5"/>
  <c r="O28" i="5"/>
  <c r="I23" i="5"/>
  <c r="J23" i="5"/>
  <c r="K23" i="5"/>
  <c r="N23" i="5"/>
  <c r="O23" i="5"/>
  <c r="M24" i="5"/>
  <c r="M25" i="5"/>
  <c r="M26" i="5"/>
  <c r="M27" i="5"/>
  <c r="M28" i="5"/>
  <c r="M23" i="5"/>
  <c r="L24" i="5"/>
  <c r="L25" i="5"/>
  <c r="L26" i="5"/>
  <c r="L27" i="5"/>
  <c r="L28" i="5"/>
  <c r="L23" i="5"/>
  <c r="G60" i="5"/>
  <c r="H60" i="5"/>
  <c r="C58" i="5"/>
  <c r="F58" i="5"/>
  <c r="C57" i="5"/>
  <c r="F57" i="5"/>
  <c r="P28" i="1"/>
  <c r="E3" i="5"/>
  <c r="E4" i="5"/>
  <c r="E5" i="5"/>
  <c r="E6" i="5"/>
  <c r="E7" i="5"/>
  <c r="E8" i="5"/>
  <c r="E9" i="5"/>
  <c r="E10" i="5"/>
  <c r="E2" i="5"/>
  <c r="P34" i="1"/>
  <c r="R31" i="1"/>
  <c r="P31" i="1"/>
  <c r="P27" i="1"/>
  <c r="P41" i="1"/>
  <c r="P40" i="1"/>
  <c r="Q21" i="1"/>
  <c r="P21" i="1"/>
  <c r="S13" i="1"/>
  <c r="R3" i="1"/>
  <c r="F7" i="4"/>
  <c r="G6" i="4"/>
  <c r="G2" i="4"/>
  <c r="Q16" i="1"/>
  <c r="P36" i="1"/>
  <c r="P37" i="1"/>
  <c r="P11" i="1"/>
  <c r="Q10" i="1"/>
  <c r="P9" i="1"/>
  <c r="Q8" i="1"/>
  <c r="S7" i="1"/>
  <c r="S6" i="1"/>
  <c r="Q3" i="1"/>
  <c r="O7" i="1"/>
  <c r="H99" i="5"/>
  <c r="A94" i="5"/>
  <c r="C89" i="5"/>
  <c r="C90" i="5"/>
  <c r="C88" i="5"/>
  <c r="H24" i="5"/>
  <c r="H25" i="5"/>
  <c r="H26" i="5"/>
  <c r="H27" i="5"/>
  <c r="H28" i="5"/>
  <c r="H23" i="5"/>
  <c r="G24" i="5"/>
  <c r="G25" i="5"/>
  <c r="G26" i="5"/>
  <c r="G27" i="5"/>
  <c r="G28" i="5"/>
  <c r="G23" i="5"/>
  <c r="F24" i="5"/>
  <c r="F25" i="5"/>
  <c r="F26" i="5"/>
  <c r="F27" i="5"/>
  <c r="F28" i="5"/>
  <c r="F23" i="5"/>
  <c r="E24" i="5"/>
  <c r="E25" i="5"/>
  <c r="E26" i="5"/>
  <c r="E27" i="5"/>
  <c r="E28" i="5"/>
  <c r="E23" i="5"/>
  <c r="B24" i="5"/>
  <c r="D24" i="5"/>
  <c r="B25" i="5"/>
  <c r="D25" i="5"/>
  <c r="B26" i="5"/>
  <c r="D26" i="5"/>
  <c r="B27" i="5"/>
  <c r="D27" i="5"/>
  <c r="B28" i="5"/>
  <c r="D28" i="5"/>
  <c r="B23" i="5"/>
  <c r="D23" i="5"/>
  <c r="C24" i="5"/>
  <c r="C25" i="5"/>
  <c r="C26" i="5"/>
  <c r="C27" i="5"/>
  <c r="C28" i="5"/>
  <c r="C23" i="5"/>
  <c r="F15" i="5"/>
  <c r="F16" i="5"/>
  <c r="F17" i="5"/>
  <c r="F18" i="5"/>
  <c r="F19" i="5"/>
  <c r="F14" i="5"/>
  <c r="E15" i="5"/>
  <c r="E16" i="5"/>
  <c r="E17" i="5"/>
  <c r="E18" i="5"/>
  <c r="E19" i="5"/>
  <c r="E14" i="5"/>
  <c r="D19" i="5"/>
  <c r="D18" i="5"/>
  <c r="E57" i="5"/>
  <c r="E58" i="5"/>
  <c r="E59" i="5"/>
  <c r="E60" i="5"/>
  <c r="E61" i="5"/>
  <c r="E62" i="5"/>
  <c r="E63" i="5"/>
  <c r="E64" i="5"/>
  <c r="E65" i="5"/>
  <c r="E56" i="5"/>
  <c r="D57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56" i="5"/>
  <c r="D56" i="5"/>
  <c r="D45" i="5"/>
  <c r="D46" i="5"/>
  <c r="D47" i="5"/>
  <c r="D48" i="5"/>
  <c r="D49" i="5"/>
  <c r="D50" i="5"/>
  <c r="D51" i="5"/>
  <c r="D52" i="5"/>
  <c r="D44" i="5"/>
  <c r="D33" i="5"/>
  <c r="D34" i="5"/>
  <c r="D35" i="5"/>
  <c r="D36" i="5"/>
  <c r="D37" i="5"/>
  <c r="D38" i="5"/>
  <c r="D39" i="5"/>
  <c r="D40" i="5"/>
  <c r="D32" i="5"/>
  <c r="D15" i="5"/>
  <c r="D16" i="5"/>
  <c r="D17" i="5"/>
  <c r="D14" i="5"/>
  <c r="I3" i="5"/>
  <c r="I4" i="5"/>
  <c r="I5" i="5"/>
  <c r="I6" i="5"/>
  <c r="I7" i="5"/>
  <c r="I8" i="5"/>
  <c r="I9" i="5"/>
  <c r="I10" i="5"/>
  <c r="I11" i="5"/>
  <c r="I2" i="5"/>
  <c r="D3" i="5"/>
  <c r="D4" i="5"/>
  <c r="D5" i="5"/>
  <c r="D6" i="5"/>
  <c r="D7" i="5"/>
  <c r="D8" i="5"/>
  <c r="D9" i="5"/>
  <c r="D10" i="5"/>
  <c r="D2" i="5"/>
  <c r="C4" i="5"/>
  <c r="C3" i="5"/>
  <c r="C5" i="5"/>
  <c r="C6" i="5"/>
  <c r="C7" i="5"/>
  <c r="C8" i="5"/>
  <c r="C9" i="5"/>
  <c r="C10" i="5"/>
  <c r="C2" i="5"/>
  <c r="O26" i="1"/>
  <c r="O34" i="1"/>
  <c r="S32" i="1"/>
  <c r="S31" i="1"/>
  <c r="S33" i="1"/>
  <c r="S30" i="1"/>
  <c r="O31" i="1"/>
  <c r="O32" i="1"/>
  <c r="O30" i="1"/>
  <c r="O27" i="1"/>
  <c r="O24" i="1"/>
  <c r="O25" i="1"/>
  <c r="O23" i="1"/>
  <c r="P20" i="1"/>
  <c r="O19" i="1"/>
  <c r="S2" i="1"/>
  <c r="R2" i="1"/>
  <c r="G9" i="4"/>
  <c r="E5" i="6"/>
  <c r="E4" i="6"/>
  <c r="F6" i="4"/>
  <c r="F5" i="4"/>
  <c r="F3" i="4"/>
  <c r="F2" i="4"/>
  <c r="O18" i="1"/>
  <c r="O16" i="1"/>
  <c r="Q14" i="1"/>
  <c r="P14" i="1"/>
  <c r="P13" i="1"/>
  <c r="Q12" i="1"/>
  <c r="P12" i="1"/>
  <c r="O11" i="1"/>
  <c r="P10" i="1"/>
  <c r="O10" i="1"/>
  <c r="Q2" i="1"/>
  <c r="P8" i="1"/>
  <c r="O8" i="1"/>
  <c r="N7" i="1"/>
  <c r="P3" i="1"/>
  <c r="O6" i="1"/>
  <c r="O5" i="1"/>
  <c r="O4" i="1"/>
  <c r="O3" i="1"/>
  <c r="O2" i="1"/>
  <c r="N2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</author>
  </authors>
  <commentList>
    <comment ref="N2" authorId="0" guid="{D277A06D-E1EE-41EF-A0F4-EF9E71580FF9}" shapeId="0" xr:uid="{00000000-0006-0000-0000-000001000000}">
      <text>
        <r>
          <rPr>
            <b/>
            <sz val="9"/>
            <color indexed="81"/>
            <rFont val="Tahoma"/>
            <family val="2"/>
          </rPr>
          <t>Hari:</t>
        </r>
        <r>
          <rPr>
            <sz val="9"/>
            <color indexed="81"/>
            <rFont val="Tahoma"/>
            <family val="2"/>
          </rPr>
          <t xml:space="preserve">
SUM IF function is based on singal condition</t>
        </r>
      </text>
    </comment>
    <comment ref="N3" authorId="0" guid="{AFAF5F43-C82A-47B7-B420-77B1A3E105E1}" shapeId="0" xr:uid="{00000000-0006-0000-0000-000002000000}">
      <text>
        <r>
          <rPr>
            <b/>
            <sz val="9"/>
            <color indexed="81"/>
            <rFont val="Tahoma"/>
            <family val="2"/>
          </rPr>
          <t>Hari:</t>
        </r>
        <r>
          <rPr>
            <sz val="9"/>
            <color indexed="81"/>
            <rFont val="Tahoma"/>
            <family val="2"/>
          </rPr>
          <t xml:space="preserve">
use for Multiple creitarea
</t>
        </r>
      </text>
    </comment>
    <comment ref="N19" authorId="0" guid="{E91D6662-413C-4AF8-897E-0CF920EF4AD7}" shapeId="0" xr:uid="{00000000-0006-0000-0000-000003000000}">
      <text>
        <r>
          <rPr>
            <b/>
            <sz val="9"/>
            <color indexed="81"/>
            <rFont val="Tahoma"/>
            <family val="2"/>
          </rPr>
          <t>Hari:</t>
        </r>
        <r>
          <rPr>
            <sz val="9"/>
            <color indexed="81"/>
            <rFont val="Tahoma"/>
            <family val="2"/>
          </rPr>
          <t xml:space="preserve">
By Default remove one Space
</t>
        </r>
      </text>
    </comment>
    <comment ref="N21" authorId="0" guid="{2D8800CC-C66E-4E06-A08A-6C4932DB3A7E}" shapeId="0" xr:uid="{00000000-0006-0000-0000-000004000000}">
      <text>
        <r>
          <rPr>
            <b/>
            <sz val="9"/>
            <color indexed="81"/>
            <rFont val="Tahoma"/>
            <family val="2"/>
          </rPr>
          <t>Hari:</t>
        </r>
        <r>
          <rPr>
            <sz val="9"/>
            <color indexed="81"/>
            <rFont val="Tahoma"/>
            <family val="2"/>
          </rPr>
          <t xml:space="preserve">
Retun the no of charater
</t>
        </r>
      </text>
    </comment>
    <comment ref="P26" authorId="0" guid="{73147161-3A9C-41EE-BAE5-341C397D7C50}" shapeId="0" xr:uid="{00000000-0006-0000-0000-000005000000}">
      <text>
        <r>
          <rPr>
            <b/>
            <sz val="9"/>
            <color indexed="81"/>
            <rFont val="Tahoma"/>
            <family val="2"/>
          </rPr>
          <t>Hari:</t>
        </r>
        <r>
          <rPr>
            <sz val="9"/>
            <color indexed="81"/>
            <rFont val="Tahoma"/>
            <family val="2"/>
          </rPr>
          <t xml:space="preserve">
Ifs function more than multiple crietare</t>
        </r>
      </text>
    </comment>
    <comment ref="N34" authorId="0" guid="{8EF2DA71-64EF-49A2-BB12-DBAE1D8CCA3B}" shapeId="0" xr:uid="{00000000-0006-0000-0000-000006000000}">
      <text>
        <r>
          <rPr>
            <b/>
            <sz val="9"/>
            <color indexed="81"/>
            <rFont val="Tahoma"/>
            <family val="2"/>
          </rPr>
          <t>Hari:</t>
        </r>
        <r>
          <rPr>
            <sz val="9"/>
            <color indexed="81"/>
            <rFont val="Tahoma"/>
            <family val="2"/>
          </rPr>
          <t xml:space="preserve">
Today function return the current 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</author>
  </authors>
  <commentList>
    <comment ref="F10" authorId="0" guid="{A6597FF4-7CF4-417A-A737-8A9DB631623C}" shapeId="0" xr:uid="{00000000-0006-0000-0300-000001000000}">
      <text>
        <r>
          <rPr>
            <b/>
            <sz val="9"/>
            <color indexed="81"/>
            <rFont val="Tahoma"/>
            <family val="2"/>
          </rPr>
          <t>Hari:</t>
        </r>
        <r>
          <rPr>
            <sz val="9"/>
            <color indexed="81"/>
            <rFont val="Tahoma"/>
            <family val="2"/>
          </rPr>
          <t xml:space="preserve">
Oranges is seeting 7 index</t>
        </r>
      </text>
    </comment>
  </commentList>
</comments>
</file>

<file path=xl/sharedStrings.xml><?xml version="1.0" encoding="utf-8"?>
<sst xmlns="http://schemas.openxmlformats.org/spreadsheetml/2006/main" count="1343" uniqueCount="508">
  <si>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</si>
  <si>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</si>
  <si>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</si>
  <si>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</si>
  <si>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</si>
  <si>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</si>
  <si>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</si>
  <si>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</si>
  <si>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</si>
  <si>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</si>
  <si>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</si>
  <si>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OConnell</t>
  </si>
  <si>
    <t>DOCONNEL</t>
  </si>
  <si>
    <t>650.507.9833</t>
  </si>
  <si>
    <t>SH_CLERK</t>
  </si>
  <si>
    <t xml:space="preserve"> - </t>
  </si>
  <si>
    <t>Grant</t>
  </si>
  <si>
    <t>DGRANT</t>
  </si>
  <si>
    <t>650.507.9844</t>
  </si>
  <si>
    <t>Jennifer</t>
  </si>
  <si>
    <t>Whalen</t>
  </si>
  <si>
    <t>JWHALEN</t>
  </si>
  <si>
    <t>515.123.4444</t>
  </si>
  <si>
    <t>AD_ASST</t>
  </si>
  <si>
    <t>Michael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</si>
  <si>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</si>
  <si>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</si>
  <si>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</si>
  <si>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</si>
  <si>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</si>
  <si>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</si>
  <si>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</si>
  <si>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</si>
  <si>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</si>
  <si>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</si>
  <si>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</si>
  <si>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</si>
  <si>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</si>
  <si>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</si>
  <si>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</si>
  <si>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</si>
  <si>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</si>
  <si>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</si>
  <si>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</si>
  <si>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</si>
  <si>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</si>
  <si>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</si>
  <si>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</si>
  <si>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</si>
  <si>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William</t>
  </si>
  <si>
    <t>Gietz</t>
  </si>
  <si>
    <t>WGIETZ</t>
  </si>
  <si>
    <t>515.123.8181</t>
  </si>
  <si>
    <t>AC_ACCOUNT</t>
  </si>
  <si>
    <t>Steven</t>
  </si>
  <si>
    <t>King</t>
  </si>
  <si>
    <t>SKING</t>
  </si>
  <si>
    <t>515.123.4567</t>
  </si>
  <si>
    <t>AD_PRES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</si>
  <si>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</si>
  <si>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</si>
  <si>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</si>
  <si>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</si>
  <si>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</si>
  <si>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</si>
  <si>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</si>
  <si>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</si>
  <si>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</si>
  <si>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</si>
  <si>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</si>
  <si>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</si>
  <si>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</si>
  <si>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</si>
  <si>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</si>
  <si>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</si>
  <si>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</si>
  <si>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</si>
  <si>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</si>
  <si>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</si>
  <si>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</si>
  <si>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</si>
  <si>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</si>
  <si>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</si>
  <si>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</si>
  <si>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</si>
  <si>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</si>
  <si>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</si>
  <si>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</si>
  <si>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</si>
  <si>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</si>
  <si>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</si>
  <si>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</si>
  <si>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</si>
  <si>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</si>
  <si>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</si>
  <si>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</si>
  <si>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</si>
  <si>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</si>
  <si>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</si>
  <si>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</si>
  <si>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</si>
  <si>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</si>
  <si>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</si>
  <si>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</si>
  <si>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</si>
  <si>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</si>
  <si>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</si>
  <si>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</si>
  <si>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</si>
  <si>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</si>
  <si>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</si>
  <si>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</si>
  <si>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</si>
  <si>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</si>
  <si>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</si>
  <si>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</si>
  <si>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</si>
  <si>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</si>
  <si>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</si>
  <si>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</si>
  <si>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</si>
  <si>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</si>
  <si>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</si>
  <si>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</si>
  <si>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</si>
  <si>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</si>
  <si>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</si>
  <si>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</si>
  <si>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</si>
  <si>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</si>
  <si>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</si>
  <si>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</si>
  <si>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</si>
  <si>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</si>
  <si>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</si>
  <si>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</si>
  <si>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</si>
  <si>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</si>
  <si>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</si>
  <si>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</si>
  <si>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</si>
  <si>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</si>
  <si>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</si>
  <si>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</si>
  <si>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</si>
  <si>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</si>
  <si>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</si>
  <si>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</si>
  <si>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</si>
  <si>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</si>
  <si>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</si>
  <si>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</si>
  <si>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</si>
  <si>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</si>
  <si>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</si>
  <si>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</si>
  <si>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</si>
  <si>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</si>
  <si>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</si>
  <si>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</si>
  <si>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</si>
  <si>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</si>
  <si>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</si>
  <si>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</si>
  <si>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</si>
  <si>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</si>
  <si>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</si>
  <si>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</si>
  <si>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</si>
  <si>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</si>
  <si>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</si>
  <si>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</si>
  <si>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</si>
  <si>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</si>
  <si>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</si>
  <si>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</si>
  <si>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</si>
  <si>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</si>
  <si>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</si>
  <si>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</si>
  <si>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</si>
  <si>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</si>
  <si>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</si>
  <si>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</si>
  <si>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</si>
  <si>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</si>
  <si>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</si>
  <si>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</si>
  <si>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</si>
  <si>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</si>
  <si>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</si>
  <si>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</si>
  <si>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</si>
  <si>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</si>
  <si>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</si>
  <si>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</si>
  <si>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</si>
  <si>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</si>
  <si>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</si>
  <si>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</si>
  <si>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</si>
  <si>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</si>
  <si>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</si>
  <si>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</si>
  <si>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</si>
  <si>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</si>
  <si>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</si>
  <si>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</si>
  <si>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</si>
  <si>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</si>
  <si>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</si>
  <si>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</si>
  <si>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</si>
  <si>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</si>
  <si>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</si>
  <si>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</si>
  <si>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</si>
  <si>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</si>
  <si>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</si>
  <si>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</si>
  <si>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</si>
  <si>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</si>
  <si>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Total Salary</t>
  </si>
  <si>
    <t>Average</t>
  </si>
  <si>
    <t>MIN</t>
  </si>
  <si>
    <t>MAX</t>
  </si>
  <si>
    <t>Commision</t>
  </si>
  <si>
    <t>SUMIFS</t>
  </si>
  <si>
    <t>COUNT</t>
  </si>
  <si>
    <t>COUNTA</t>
  </si>
  <si>
    <t>Count function only count numbers</t>
  </si>
  <si>
    <t>Counta function count text numbers</t>
  </si>
  <si>
    <t>SUMIF</t>
  </si>
  <si>
    <t>One Crietarea</t>
  </si>
  <si>
    <t>Multiple creitarea</t>
  </si>
  <si>
    <t>COUNTIF</t>
  </si>
  <si>
    <t>COUNTIFS</t>
  </si>
  <si>
    <t>AVERAGEA</t>
  </si>
  <si>
    <t>AVERAGEIF</t>
  </si>
  <si>
    <t>ROUND</t>
  </si>
  <si>
    <t>ROUNDUP</t>
  </si>
  <si>
    <t>ROUNDDOWN</t>
  </si>
  <si>
    <t>CONCATENATE</t>
  </si>
  <si>
    <t>CONCATENATE function joins a list or range of strings</t>
  </si>
  <si>
    <t>INDEX</t>
  </si>
  <si>
    <t>Order Id</t>
  </si>
  <si>
    <t>Product</t>
  </si>
  <si>
    <t>Unit Price</t>
  </si>
  <si>
    <t>Quantity</t>
  </si>
  <si>
    <t>Apples</t>
  </si>
  <si>
    <t>Oranges</t>
  </si>
  <si>
    <t>Bananas</t>
  </si>
  <si>
    <t>Pears</t>
  </si>
  <si>
    <t>Grapes</t>
  </si>
  <si>
    <t>Mangoes</t>
  </si>
  <si>
    <t>$ 14.00</t>
  </si>
  <si>
    <t>$ 9.80</t>
  </si>
  <si>
    <t>$ 14.80</t>
  </si>
  <si>
    <t>$ 18.60</t>
  </si>
  <si>
    <t>$ 42.30</t>
  </si>
  <si>
    <t>$ 24.50</t>
  </si>
  <si>
    <t>OFFSET</t>
  </si>
  <si>
    <t>Sales</t>
  </si>
  <si>
    <t>Month</t>
  </si>
  <si>
    <t>East</t>
  </si>
  <si>
    <t>West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</si>
  <si>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</si>
  <si>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</si>
  <si>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</si>
  <si>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</si>
  <si>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</si>
  <si>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</si>
  <si>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</si>
  <si>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</si>
  <si>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</si>
  <si>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</si>
  <si>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</si>
  <si>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</si>
  <si>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MATCH</t>
  </si>
  <si>
    <t>TRIM</t>
  </si>
  <si>
    <t xml:space="preserve">  Donald  </t>
  </si>
  <si>
    <t xml:space="preserve">  Douglas  </t>
  </si>
  <si>
    <t>LEN</t>
  </si>
  <si>
    <t xml:space="preserve">SQRT  </t>
  </si>
  <si>
    <t>SQRT function returns the square root of a number</t>
  </si>
  <si>
    <t>IF</t>
  </si>
  <si>
    <t>IFS</t>
  </si>
  <si>
    <t>ifs(H2&lt;5000,"5k",h2&lt;1000,"10k",h2&lt;15000,"15k",h2&lt;20000,"20k"</t>
  </si>
  <si>
    <t>AND</t>
  </si>
  <si>
    <t>OR</t>
  </si>
  <si>
    <t>TODAY</t>
  </si>
  <si>
    <t xml:space="preserve">Douglas  </t>
  </si>
  <si>
    <t xml:space="preserve">Donald  </t>
  </si>
  <si>
    <t>200a</t>
  </si>
  <si>
    <t>205b</t>
  </si>
  <si>
    <t>ISNUMBER</t>
  </si>
  <si>
    <t>ISODD</t>
  </si>
  <si>
    <t>Students</t>
  </si>
  <si>
    <t>Maths</t>
  </si>
  <si>
    <t>Not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</si>
  <si>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</si>
  <si>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</si>
  <si>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</si>
  <si>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</si>
  <si>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</si>
  <si>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</si>
  <si>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</si>
  <si>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</si>
  <si>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</si>
  <si>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Computer</t>
  </si>
  <si>
    <t>Hard Drive</t>
  </si>
  <si>
    <t>RAM</t>
  </si>
  <si>
    <t>XOR</t>
  </si>
  <si>
    <t>RAM&gt;6 GB</t>
  </si>
  <si>
    <t>Dept</t>
  </si>
  <si>
    <t>Salary</t>
  </si>
  <si>
    <t>Emp Code</t>
  </si>
  <si>
    <t>Raja RAI</t>
  </si>
  <si>
    <t>Admin</t>
  </si>
  <si>
    <t>Suman</t>
  </si>
  <si>
    <t>Kuldeep</t>
  </si>
  <si>
    <t>Hari</t>
  </si>
  <si>
    <t>Commission</t>
  </si>
  <si>
    <t>Dept.</t>
  </si>
  <si>
    <t>Bonus</t>
  </si>
  <si>
    <t>Marketing</t>
  </si>
  <si>
    <t>R&amp;D</t>
  </si>
  <si>
    <t>Others</t>
  </si>
  <si>
    <t>Science</t>
  </si>
  <si>
    <t>Result(Pass/Fail)</t>
  </si>
  <si>
    <t>Name</t>
  </si>
  <si>
    <t>Certfication</t>
  </si>
  <si>
    <t>Prep Course</t>
  </si>
  <si>
    <t>Can Register</t>
  </si>
  <si>
    <t>Numerator</t>
  </si>
  <si>
    <t>Denominator</t>
  </si>
  <si>
    <t>Result</t>
  </si>
  <si>
    <t>IFNA</t>
  </si>
  <si>
    <t>IFNA(C3,"No Data available")</t>
  </si>
  <si>
    <t>Jyoti</t>
  </si>
  <si>
    <t>Ravi</t>
  </si>
  <si>
    <t>Nested IF</t>
  </si>
  <si>
    <t>TEXT FUNCTION</t>
  </si>
  <si>
    <t>LOWER</t>
  </si>
  <si>
    <t>Upper</t>
  </si>
  <si>
    <t>Text</t>
  </si>
  <si>
    <t>Proper</t>
  </si>
  <si>
    <t>Left</t>
  </si>
  <si>
    <t>Right</t>
  </si>
  <si>
    <t>MID</t>
  </si>
  <si>
    <t>Len</t>
  </si>
  <si>
    <t>EXACT</t>
  </si>
  <si>
    <t>Apple</t>
  </si>
  <si>
    <t>apple</t>
  </si>
  <si>
    <t>APPLE</t>
  </si>
  <si>
    <t xml:space="preserve">RANDBetween </t>
  </si>
  <si>
    <t>Name Ranges</t>
  </si>
  <si>
    <t>Students Name</t>
  </si>
  <si>
    <t>Matt</t>
  </si>
  <si>
    <t>Bob</t>
  </si>
  <si>
    <t>Tom</t>
  </si>
  <si>
    <t>Brad</t>
  </si>
  <si>
    <t>Jenny</t>
  </si>
  <si>
    <t>Maria</t>
  </si>
  <si>
    <t>Jill</t>
  </si>
  <si>
    <t>Josh</t>
  </si>
  <si>
    <t>Math</t>
  </si>
  <si>
    <t>Physics</t>
  </si>
  <si>
    <t>Chemistry</t>
  </si>
  <si>
    <t>Biology</t>
  </si>
  <si>
    <t>VLOOKUP is Horizental</t>
  </si>
  <si>
    <t>HLOOUP is row</t>
  </si>
  <si>
    <t>jkhgkjhjk
m,bmb
'</t>
  </si>
  <si>
    <t/>
  </si>
  <si>
    <t>SQRT</t>
  </si>
  <si>
    <t>#NA</t>
  </si>
  <si>
    <t>-</t>
  </si>
  <si>
    <t>Text to Column</t>
  </si>
  <si>
    <t>Registration</t>
  </si>
  <si>
    <t>Course Wish to Enroll</t>
  </si>
  <si>
    <t>Gender</t>
  </si>
  <si>
    <t>Graduate</t>
  </si>
  <si>
    <t>PGDM</t>
  </si>
  <si>
    <t>PGDCA</t>
  </si>
  <si>
    <t>MCA</t>
  </si>
  <si>
    <t>BA</t>
  </si>
  <si>
    <t>Data Validation</t>
  </si>
  <si>
    <t>EMP Code</t>
  </si>
  <si>
    <t>Deprtment</t>
  </si>
  <si>
    <t>GOAL SEEK</t>
  </si>
  <si>
    <t># No Of Unit</t>
  </si>
  <si>
    <t>Retail Price</t>
  </si>
  <si>
    <t>Revenue</t>
  </si>
  <si>
    <t>Selling Discount</t>
  </si>
  <si>
    <t>Q1</t>
  </si>
  <si>
    <t>Q2</t>
  </si>
  <si>
    <t>Q3</t>
  </si>
  <si>
    <t>Q4</t>
  </si>
  <si>
    <t>Gross</t>
  </si>
  <si>
    <t>Profit</t>
  </si>
  <si>
    <t>Net</t>
  </si>
  <si>
    <t>Net Profit Goal</t>
  </si>
  <si>
    <t>Sale Price</t>
  </si>
  <si>
    <t>Cost Price</t>
  </si>
  <si>
    <t>Discount on Sales</t>
  </si>
  <si>
    <t>DATA TABLE</t>
  </si>
  <si>
    <t>Find the Total Revenue when the Discount % is Change</t>
  </si>
  <si>
    <t>Total Profit</t>
  </si>
  <si>
    <t>Find the Total Profit if the Discount &amp; Sale Price change as given in the table</t>
  </si>
  <si>
    <t>Total NO Of Books</t>
  </si>
  <si>
    <t>% sold for highest Price</t>
  </si>
  <si>
    <t>No of Book</t>
  </si>
  <si>
    <t>Unit Profit</t>
  </si>
  <si>
    <t>Highest Price</t>
  </si>
  <si>
    <t>Lowest Price</t>
  </si>
  <si>
    <t>SCENARIO MANAGER</t>
  </si>
  <si>
    <t>$C$126</t>
  </si>
  <si>
    <t>$D$131</t>
  </si>
  <si>
    <t>Highest 60%</t>
  </si>
  <si>
    <t>Created by Hari on 15-03-2024</t>
  </si>
  <si>
    <t>Highest 70%</t>
  </si>
  <si>
    <t>Created by Hari on 15-03-2024
Modified by Hari on 15-03-2024</t>
  </si>
  <si>
    <t>HIghest 80%</t>
  </si>
  <si>
    <t>Highest 90%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</si>
  <si>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</si>
  <si>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</si>
  <si>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</si>
  <si>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</si>
  <si>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</si>
  <si>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</si>
  <si>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</si>
  <si>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Mehata</t>
  </si>
  <si>
    <t>Vedika</t>
  </si>
  <si>
    <t>WHAT IF ANALYSIS - SCENARIO MANAGER</t>
  </si>
  <si>
    <t>Ram Salary</t>
  </si>
  <si>
    <t>Ram Expenses</t>
  </si>
  <si>
    <t>Ram Saving Per Month</t>
  </si>
  <si>
    <t>Saving Per Month</t>
  </si>
  <si>
    <t>Ram Expenses Per Month</t>
  </si>
  <si>
    <t>Original Saving</t>
  </si>
  <si>
    <t>Ram Salary Per Month</t>
  </si>
  <si>
    <t>SORT</t>
  </si>
  <si>
    <t>Sonam</t>
  </si>
  <si>
    <t>Joy</t>
  </si>
  <si>
    <t>Raj</t>
  </si>
  <si>
    <t>Dennay</t>
  </si>
  <si>
    <t>Marks</t>
  </si>
  <si>
    <t>Sub</t>
  </si>
  <si>
    <t>S.N.</t>
  </si>
  <si>
    <t>ROI</t>
  </si>
  <si>
    <t>cash you get it per Year</t>
  </si>
  <si>
    <t>Cash you put in</t>
  </si>
  <si>
    <t>profit</t>
  </si>
  <si>
    <t>Investment</t>
  </si>
  <si>
    <r>
      <t>Net revenue = </t>
    </r>
    <r>
      <rPr>
        <sz val="15"/>
        <color rgb="FF040C28"/>
        <rFont val="Arial"/>
        <family val="2"/>
      </rPr>
      <t>(unit cost – cost of goods sold) x number of units sold or total revenue – costs and returns</t>
    </r>
  </si>
  <si>
    <t>STAT</t>
  </si>
  <si>
    <t>AVERAGE</t>
  </si>
  <si>
    <t>MEDIAN</t>
  </si>
  <si>
    <t>MODE</t>
  </si>
  <si>
    <t>SD</t>
  </si>
  <si>
    <t>LARGE</t>
  </si>
  <si>
    <t>SMALL</t>
  </si>
  <si>
    <t>SUBJECT</t>
  </si>
  <si>
    <t>Age X</t>
  </si>
  <si>
    <t>Glucose Level Y</t>
  </si>
  <si>
    <t xml:space="preserve"> </t>
  </si>
  <si>
    <t>COREL</t>
  </si>
  <si>
    <t>CHART</t>
  </si>
  <si>
    <t>Region</t>
  </si>
  <si>
    <t>Mumbai</t>
  </si>
  <si>
    <t>London</t>
  </si>
  <si>
    <t>USA</t>
  </si>
  <si>
    <t>EMEA</t>
  </si>
  <si>
    <t>NAGPUR</t>
  </si>
  <si>
    <t>Gujarat</t>
  </si>
  <si>
    <t>Pune</t>
  </si>
  <si>
    <t>Chennai</t>
  </si>
  <si>
    <t>Hyderabad</t>
  </si>
  <si>
    <t>ASSAM</t>
  </si>
  <si>
    <t>mAX</t>
  </si>
  <si>
    <t>D  Ram</t>
  </si>
  <si>
    <t xml:space="preserve">    Pankaj  </t>
  </si>
  <si>
    <t>oranges</t>
  </si>
  <si>
    <t>peaches</t>
  </si>
  <si>
    <t>Fruit Data</t>
  </si>
  <si>
    <t>Numbers data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</si>
  <si>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</si>
  <si>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</si>
  <si>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</si>
  <si>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</si>
  <si>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</si>
  <si>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</si>
  <si>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</si>
  <si>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 Name</t>
  </si>
  <si>
    <t>Chemistory</t>
  </si>
  <si>
    <t>Madhav</t>
  </si>
  <si>
    <t>Ram</t>
  </si>
  <si>
    <t>Visakha</t>
  </si>
  <si>
    <t>Sam</t>
  </si>
  <si>
    <t>Risabh</t>
  </si>
  <si>
    <t>Total NO</t>
  </si>
  <si>
    <t>Grade</t>
  </si>
  <si>
    <t>Fruit</t>
  </si>
  <si>
    <t>Price</t>
  </si>
  <si>
    <t>cherry</t>
  </si>
  <si>
    <t>banana</t>
  </si>
  <si>
    <t>grapes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</si>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</sst>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18"/>
      <name val="Calibri"/>
      <family val="2"/>
    </font>
    <font>
      <sz val="10"/>
      <color indexed="9"/>
      <name val="Calibri"/>
      <family val="2"/>
    </font>
    <font>
      <sz val="8"/>
      <color theme="1"/>
      <name val="Calibri"/>
      <family val="2"/>
    </font>
    <font>
      <sz val="15"/>
      <color rgb="FF1F1F1F"/>
      <name val="Arial"/>
      <family val="2"/>
    </font>
    <font>
      <sz val="15"/>
      <color rgb="FF040C28"/>
      <name val="Arial"/>
      <family val="2"/>
    </font>
    <font>
      <sz val="8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3">
    <xf numFmtId="0" fontId="0" fillId="0" borderId="0" xfId="0"/>
    <xf numFmtId="15" fontId="0" fillId="0" borderId="0" xfId="0" applyNumberFormat="1"/>
    <xf numFmtId="0" fontId="0" fillId="0" borderId="0" xfId="0" applyAlignment="1">
      <alignment horizontal="left"/>
    </xf>
    <xf numFmtId="0" fontId="0" fillId="33" borderId="10" xfId="0" applyFill="1" applyBorder="1"/>
    <xf numFmtId="0" fontId="16" fillId="33" borderId="10" xfId="0" applyFont="1" applyFill="1" applyBorder="1"/>
    <xf numFmtId="0" fontId="0" fillId="33" borderId="11" xfId="0" applyFill="1" applyBorder="1"/>
    <xf numFmtId="0" fontId="0" fillId="33" borderId="0" xfId="0" applyFill="1"/>
    <xf numFmtId="0" fontId="0" fillId="0" borderId="10" xfId="0" applyBorder="1"/>
    <xf numFmtId="0" fontId="16" fillId="33" borderId="0" xfId="0" applyFont="1" applyFill="1"/>
    <xf numFmtId="14" fontId="0" fillId="0" borderId="0" xfId="0" applyNumberFormat="1"/>
    <xf numFmtId="0" fontId="0" fillId="33" borderId="10" xfId="0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quotePrefix="1"/>
    <xf numFmtId="9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9" fontId="0" fillId="0" borderId="0" xfId="0" applyNumberFormat="1" applyFill="1" applyBorder="1" applyAlignment="1"/>
    <xf numFmtId="0" fontId="0" fillId="0" borderId="15" xfId="0" applyFill="1" applyBorder="1" applyAlignment="1"/>
    <xf numFmtId="0" fontId="20" fillId="34" borderId="16" xfId="0" applyFont="1" applyFill="1" applyBorder="1" applyAlignment="1">
      <alignment horizontal="left"/>
    </xf>
    <xf numFmtId="0" fontId="20" fillId="34" borderId="14" xfId="0" applyFont="1" applyFill="1" applyBorder="1" applyAlignment="1">
      <alignment horizontal="left"/>
    </xf>
    <xf numFmtId="0" fontId="0" fillId="0" borderId="17" xfId="0" applyFill="1" applyBorder="1" applyAlignment="1"/>
    <xf numFmtId="0" fontId="21" fillId="35" borderId="0" xfId="0" applyFont="1" applyFill="1" applyBorder="1" applyAlignment="1">
      <alignment horizontal="left"/>
    </xf>
    <xf numFmtId="0" fontId="22" fillId="35" borderId="17" xfId="0" applyFont="1" applyFill="1" applyBorder="1" applyAlignment="1">
      <alignment horizontal="left"/>
    </xf>
    <xf numFmtId="0" fontId="21" fillId="35" borderId="15" xfId="0" applyFont="1" applyFill="1" applyBorder="1" applyAlignment="1">
      <alignment horizontal="left"/>
    </xf>
    <xf numFmtId="0" fontId="23" fillId="34" borderId="14" xfId="0" applyFont="1" applyFill="1" applyBorder="1" applyAlignment="1">
      <alignment horizontal="right"/>
    </xf>
    <xf numFmtId="0" fontId="23" fillId="34" borderId="16" xfId="0" applyFont="1" applyFill="1" applyBorder="1" applyAlignment="1">
      <alignment horizontal="right"/>
    </xf>
    <xf numFmtId="9" fontId="0" fillId="36" borderId="0" xfId="0" applyNumberFormat="1" applyFill="1" applyBorder="1" applyAlignment="1"/>
    <xf numFmtId="0" fontId="24" fillId="0" borderId="0" xfId="0" applyFont="1" applyFill="1" applyBorder="1" applyAlignment="1">
      <alignment vertical="top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9" fontId="0" fillId="0" borderId="22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5" fillId="0" borderId="0" xfId="0" applyFont="1"/>
    <xf numFmtId="0" fontId="16" fillId="37" borderId="0" xfId="0" applyFont="1" applyFill="1"/>
    <xf numFmtId="2" fontId="0" fillId="0" borderId="0" xfId="0" applyNumberFormat="1"/>
    <xf numFmtId="0" fontId="16" fillId="37" borderId="11" xfId="0" applyFont="1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left"/>
    </xf>
    <xf numFmtId="0" fontId="0" fillId="0" borderId="0" xfId="0" applyProtection="1"/>
    <xf numFmtId="15" fontId="0" fillId="0" borderId="0" xfId="0" applyNumberFormat="1" applyProtection="1"/>
    <xf numFmtId="164" fontId="0" fillId="0" borderId="0" xfId="0" applyNumberFormat="1"/>
    <xf numFmtId="0" fontId="16" fillId="33" borderId="0" xfId="0" applyFont="1" applyFill="1" applyAlignment="1">
      <alignment horizontal="center" vertical="center"/>
    </xf>
    <xf numFmtId="0" fontId="16" fillId="37" borderId="26" xfId="0" applyFont="1" applyFill="1" applyBorder="1" applyAlignment="1">
      <alignment horizontal="center" vertical="center"/>
    </xf>
    <xf numFmtId="0" fontId="16" fillId="37" borderId="27" xfId="0" applyFont="1" applyFill="1" applyBorder="1" applyAlignment="1">
      <alignment horizontal="center" vertical="center"/>
    </xf>
    <xf numFmtId="0" fontId="16" fillId="37" borderId="28" xfId="0" applyFont="1" applyFill="1" applyBorder="1" applyAlignment="1">
      <alignment horizontal="center" vertical="center"/>
    </xf>
    <xf numFmtId="0" fontId="16" fillId="37" borderId="29" xfId="0" applyFont="1" applyFill="1" applyBorder="1" applyAlignment="1">
      <alignment horizontal="center" vertical="center"/>
    </xf>
    <xf numFmtId="0" fontId="16" fillId="37" borderId="30" xfId="0" applyFont="1" applyFill="1" applyBorder="1" applyAlignment="1">
      <alignment horizontal="center" vertical="center"/>
    </xf>
    <xf numFmtId="0" fontId="16" fillId="37" borderId="31" xfId="0" applyFont="1" applyFill="1" applyBorder="1" applyAlignment="1">
      <alignment horizontal="center" vertical="center"/>
    </xf>
    <xf numFmtId="0" fontId="14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FFFF00"/>
        </patternFill>
      </fill>
    </dxf>
    <dxf>
      <fill>
        <patternFill>
          <bgColor theme="4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usernames" Target="revisions/userNam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0</xdr:rowOff>
    </xdr:from>
    <xdr:to>
      <xdr:col>5</xdr:col>
      <xdr:colOff>57647</xdr:colOff>
      <xdr:row>83</xdr:row>
      <xdr:rowOff>105135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44500"/>
          <a:ext cx="3562847" cy="258163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12</xdr:col>
      <xdr:colOff>248206</xdr:colOff>
      <xdr:row>77</xdr:row>
      <xdr:rowOff>181186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425" y="13144500"/>
          <a:ext cx="3982006" cy="1514686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1</xdr:row>
      <xdr:rowOff>180975</xdr:rowOff>
    </xdr:from>
    <xdr:to>
      <xdr:col>18</xdr:col>
      <xdr:colOff>248348</xdr:colOff>
      <xdr:row>10</xdr:row>
      <xdr:rowOff>95477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0850" y="371475"/>
          <a:ext cx="5001323" cy="16290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125</xdr:row>
      <xdr:rowOff>104775</xdr:rowOff>
    </xdr:from>
    <xdr:to>
      <xdr:col>12</xdr:col>
      <xdr:colOff>390525</xdr:colOff>
      <xdr:row>131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753100" y="23917275"/>
          <a:ext cx="3095625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text box</a:t>
          </a:r>
        </a:p>
      </xdr:txBody>
    </xdr:sp>
    <xdr:clientData/>
  </xdr:twoCellAnchor>
  <xdr:twoCellAnchor editAs="oneCell">
    <xdr:from>
      <xdr:col>33</xdr:col>
      <xdr:colOff>114300</xdr:colOff>
      <xdr:row>98</xdr:row>
      <xdr:rowOff>161925</xdr:rowOff>
    </xdr:from>
    <xdr:to>
      <xdr:col>51</xdr:col>
      <xdr:colOff>172989</xdr:colOff>
      <xdr:row>116</xdr:row>
      <xdr:rowOff>114780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93400" y="18878550"/>
          <a:ext cx="11031489" cy="3439005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8" Type="http://schemas.openxmlformats.org/officeDocument/2006/relationships/revisionLog" Target="revisionLog5.xml"/><Relationship Id="rId26" Type="http://schemas.openxmlformats.org/officeDocument/2006/relationships/revisionLog" Target="revisionLog13.xml"/><Relationship Id="rId21" Type="http://schemas.openxmlformats.org/officeDocument/2006/relationships/revisionLog" Target="revisionLog8.xml"/><Relationship Id="rId17" Type="http://schemas.openxmlformats.org/officeDocument/2006/relationships/revisionLog" Target="revisionLog4.xml"/><Relationship Id="rId25" Type="http://schemas.openxmlformats.org/officeDocument/2006/relationships/revisionLog" Target="revisionLog12.xml"/><Relationship Id="rId16" Type="http://schemas.openxmlformats.org/officeDocument/2006/relationships/revisionLog" Target="revisionLog3.xml"/><Relationship Id="rId20" Type="http://schemas.openxmlformats.org/officeDocument/2006/relationships/revisionLog" Target="revisionLog7.xml"/><Relationship Id="rId24" Type="http://schemas.openxmlformats.org/officeDocument/2006/relationships/revisionLog" Target="revisionLog11.xml"/><Relationship Id="rId15" Type="http://schemas.openxmlformats.org/officeDocument/2006/relationships/revisionLog" Target="revisionLog2.xml"/><Relationship Id="rId23" Type="http://schemas.openxmlformats.org/officeDocument/2006/relationships/revisionLog" Target="revisionLog10.xml"/><Relationship Id="rId19" Type="http://schemas.openxmlformats.org/officeDocument/2006/relationships/revisionLog" Target="revisionLog6.xml"/><Relationship Id="rId14" Type="http://schemas.openxmlformats.org/officeDocument/2006/relationships/revisionLog" Target="revisionLog1.xml"/><Relationship Id="rId22" Type="http://schemas.openxmlformats.org/officeDocument/2006/relationships/revisionLog" Target="revisionLog9.xml"/><Relationship Id="rId27" Type="http://schemas.openxmlformats.org/officeDocument/2006/relationships/revisionLog" Target="revisionLog1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1A069D9-CF11-48F3-A91C-D90F057B5F60}" diskRevisions="1" revisionId="600" version="23">
  <header guid="{BB49AE3A-BD83-43AA-AA44-B4CF27C2EDA8}" dateTime="2025-06-22T21:54:45" maxSheetId="12" userName="Hari" r:id="rId14" minRId="222" maxRId="32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F531F90-B9A5-44CF-AF6C-D256507476FA}" dateTime="2025-06-22T23:01:27" maxSheetId="12" userName="Hari" r:id="rId15" minRId="322" maxRId="35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4351992-CF15-4E75-95EE-8B2C110E3418}" dateTime="2025-06-23T12:41:37" maxSheetId="12" userName="Hari" r:id="rId16" minRId="354" maxRId="38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BCC85D2-CC29-43A1-96A4-903C1BF23042}" dateTime="2025-06-23T12:47:09" maxSheetId="12" userName="Hari" r:id="rId17" minRId="39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B2D1295-6A5E-4F89-9F81-AE05EB863CB7}" dateTime="2025-06-23T12:56:01" maxSheetId="12" userName="Hari" r:id="rId18" minRId="393" maxRId="42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7737BE6-53A3-413F-AD91-A21222010FEB}" dateTime="2025-06-23T21:21:01" maxSheetId="13" userName="Hari" r:id="rId19" minRId="422" maxRId="463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09042C86-9C2A-438B-AC41-A2D74E7DCE29}" dateTime="2025-06-23T21:24:36" maxSheetId="13" userName="Hari" r:id="rId2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53167383-EA3E-40B0-9C08-1F47684BEE8A}" dateTime="2025-06-23T21:49:27" maxSheetId="13" userName="Hari" r:id="rId21" minRId="464" maxRId="498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086C20B1-272E-4356-A71A-568FC17C683C}" dateTime="2025-06-23T22:18:30" maxSheetId="13" userName="Hari" r:id="rId22" minRId="499" maxRId="507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79A5772C-9F5E-48E3-BB2D-FABA9947942C}" dateTime="2025-06-28T00:14:02" maxSheetId="13" userName="Hari" r:id="rId23" minRId="512" maxRId="537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82FC6C7F-C77E-41D6-A493-187D3956C76A}" dateTime="2025-06-28T00:27:47" maxSheetId="13" userName="Hari" r:id="rId24" minRId="542" maxRId="556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33141252-A7F6-4685-B688-828CED423E8F}" dateTime="2025-06-28T00:44:46" maxSheetId="13" userName="Hari" r:id="rId25" minRId="561" maxRId="579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6D510724-DBA2-4E22-9F14-1228DEEB42D3}" dateTime="2025-06-28T00:55:19" maxSheetId="13" userName="Hari" r:id="rId26" minRId="584" maxRId="592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91A069D9-CF11-48F3-A91C-D90F057B5F60}" dateTime="2025-06-28T01:12:33" maxSheetId="13" userName="Hari" r:id="rId27" minRId="593" maxRId="60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222" sheetId="11" name="[employees1.xlsx]Sheet2" sheetPosition="10"/>
  <rcc rId="223" sId="11">
    <nc r="A1">
      <v>1</v>
    </nc>
  </rcc>
  <rcc rId="224" sId="11">
    <nc r="B1">
      <v>2</v>
    </nc>
  </rcc>
  <rcc rId="225" sId="11">
    <nc r="C1">
      <v>3</v>
    </nc>
  </rcc>
  <rcc rId="226" sId="11">
    <nc r="D1">
      <v>4</v>
    </nc>
  </rcc>
  <rcc rId="227" sId="11">
    <nc r="E1">
      <v>5</v>
    </nc>
  </rcc>
  <rcc rId="228" sId="11">
    <nc r="F1">
      <v>6</v>
    </nc>
  </rcc>
  <rcc rId="229" sId="11">
    <nc r="G1">
      <v>7</v>
    </nc>
  </rcc>
  <rcc rId="230" sId="11">
    <nc r="H1">
      <v>8</v>
    </nc>
  </rcc>
  <rcc rId="231" sId="11">
    <nc r="I1">
      <v>9</v>
    </nc>
  </rcc>
  <rcc rId="232" sId="11">
    <nc r="J1">
      <v>10</v>
    </nc>
  </rcc>
  <rcc rId="233" sId="11">
    <nc r="K1">
      <v>11</v>
    </nc>
  </rcc>
  <rcc rId="234" sId="11">
    <nc r="L1">
      <v>12</v>
    </nc>
  </rcc>
  <rcc rId="235" sId="11">
    <nc r="M1">
      <v>13</v>
    </nc>
  </rcc>
  <rcc rId="236" sId="11">
    <nc r="N1">
      <v>14</v>
    </nc>
  </rcc>
  <rcc rId="237" sId="11">
    <nc r="O1">
      <v>15</v>
    </nc>
  </rcc>
  <rcc rId="238" sId="11">
    <nc r="P1">
      <v>16</v>
    </nc>
  </rcc>
  <rcc rId="239" sId="11">
    <nc r="Q1">
      <v>17</v>
    </nc>
  </rcc>
  <rcc rId="240" sId="11">
    <nc r="R1">
      <v>18</v>
    </nc>
  </rcc>
  <rcc rId="241" sId="11">
    <nc r="S1">
      <v>19</v>
    </nc>
  </rcc>
  <rcc rId="242" sId="11">
    <nc r="T1">
      <v>20</v>
    </nc>
  </rcc>
  <rcc rId="243" sId="11">
    <nc r="U1">
      <v>21</v>
    </nc>
  </rcc>
  <rcc rId="244" sId="11">
    <nc r="V1">
      <v>22</v>
    </nc>
  </rcc>
  <rcc rId="245" sId="11">
    <nc r="W1">
      <v>23</v>
    </nc>
  </rcc>
  <rcc rId="246" sId="11">
    <nc r="X1">
      <v>24</v>
    </nc>
  </rcc>
  <rcc rId="247" sId="11">
    <nc r="Y1">
      <v>25</v>
    </nc>
  </rcc>
  <rcc rId="248" sId="11">
    <nc r="Z1">
      <v>26</v>
    </nc>
  </rcc>
  <rcc rId="249" sId="11">
    <nc r="AA1">
      <v>27</v>
    </nc>
  </rcc>
  <rcc rId="250" sId="11">
    <nc r="AB1">
      <v>28</v>
    </nc>
  </rcc>
  <rcc rId="251" sId="11">
    <nc r="AC1">
      <v>29</v>
    </nc>
  </rcc>
  <rcc rId="252" sId="11">
    <nc r="AD1">
      <v>30</v>
    </nc>
  </rcc>
  <rrc rId="253" sId="11" eol="1" ref="A2:XFD2" action="insertRow"/>
  <rcc rId="254" sId="11">
    <nc r="A2" t="inlineStr">
      <is>
        <t>MONDAY</t>
      </is>
    </nc>
  </rcc>
  <rcc rId="255" sId="11">
    <nc r="B2" t="inlineStr">
      <is>
        <t>TUESDAY</t>
      </is>
    </nc>
  </rcc>
  <rcc rId="256" sId="11">
    <nc r="C2" t="inlineStr">
      <is>
        <t>WEDNESDAY</t>
      </is>
    </nc>
  </rcc>
  <rcc rId="257" sId="11">
    <nc r="D2" t="inlineStr">
      <is>
        <t>THURSDAY</t>
      </is>
    </nc>
  </rcc>
  <rcc rId="258" sId="11">
    <nc r="E2" t="inlineStr">
      <is>
        <t>FRIDAY</t>
      </is>
    </nc>
  </rcc>
  <rcc rId="259" sId="11">
    <nc r="F2" t="inlineStr">
      <is>
        <t>SATURDAY</t>
      </is>
    </nc>
  </rcc>
  <rcc rId="260" sId="11">
    <nc r="G2" t="inlineStr">
      <is>
        <t>SUNDAY</t>
      </is>
    </nc>
  </rcc>
  <rcc rId="261" sId="11">
    <nc r="H2" t="inlineStr">
      <is>
        <t>MONDAY</t>
      </is>
    </nc>
  </rcc>
  <rcc rId="262" sId="11">
    <nc r="I2" t="inlineStr">
      <is>
        <t>TUESDAY</t>
      </is>
    </nc>
  </rcc>
  <rcc rId="263" sId="11">
    <nc r="J2" t="inlineStr">
      <is>
        <t>WEDNESDAY</t>
      </is>
    </nc>
  </rcc>
  <rcc rId="264" sId="11">
    <nc r="K2" t="inlineStr">
      <is>
        <t>THURSDAY</t>
      </is>
    </nc>
  </rcc>
  <rcc rId="265" sId="11">
    <nc r="L2" t="inlineStr">
      <is>
        <t>FRIDAY</t>
      </is>
    </nc>
  </rcc>
  <rcc rId="266" sId="11">
    <nc r="M2" t="inlineStr">
      <is>
        <t>SATURDAY</t>
      </is>
    </nc>
  </rcc>
  <rcc rId="267" sId="11">
    <nc r="N2" t="inlineStr">
      <is>
        <t>SUNDAY</t>
      </is>
    </nc>
  </rcc>
  <rcc rId="268" sId="11">
    <nc r="O2" t="inlineStr">
      <is>
        <t>MONDAY</t>
      </is>
    </nc>
  </rcc>
  <rcc rId="269" sId="11">
    <nc r="P2" t="inlineStr">
      <is>
        <t>TUESDAY</t>
      </is>
    </nc>
  </rcc>
  <rcc rId="270" sId="11">
    <nc r="Q2" t="inlineStr">
      <is>
        <t>WEDNESDAY</t>
      </is>
    </nc>
  </rcc>
  <rcc rId="271" sId="11">
    <nc r="R2" t="inlineStr">
      <is>
        <t>THURSDAY</t>
      </is>
    </nc>
  </rcc>
  <rcc rId="272" sId="11">
    <nc r="S2" t="inlineStr">
      <is>
        <t>FRIDAY</t>
      </is>
    </nc>
  </rcc>
  <rcc rId="273" sId="11">
    <nc r="T2" t="inlineStr">
      <is>
        <t>SATURDAY</t>
      </is>
    </nc>
  </rcc>
  <rcc rId="274" sId="11">
    <nc r="U2" t="inlineStr">
      <is>
        <t>SUNDAY</t>
      </is>
    </nc>
  </rcc>
  <rcc rId="275" sId="11">
    <nc r="V2" t="inlineStr">
      <is>
        <t>MONDAY</t>
      </is>
    </nc>
  </rcc>
  <rcc rId="276" sId="11">
    <nc r="W2" t="inlineStr">
      <is>
        <t>TUESDAY</t>
      </is>
    </nc>
  </rcc>
  <rcc rId="277" sId="11">
    <nc r="X2" t="inlineStr">
      <is>
        <t>WEDNESDAY</t>
      </is>
    </nc>
  </rcc>
  <rcc rId="278" sId="11">
    <nc r="Y2" t="inlineStr">
      <is>
        <t>THURSDAY</t>
      </is>
    </nc>
  </rcc>
  <rcc rId="279" sId="11">
    <nc r="Z2" t="inlineStr">
      <is>
        <t>FRIDAY</t>
      </is>
    </nc>
  </rcc>
  <rcc rId="280" sId="11">
    <nc r="AA2" t="inlineStr">
      <is>
        <t>SATURDAY</t>
      </is>
    </nc>
  </rcc>
  <rcc rId="281" sId="11">
    <nc r="AB2" t="inlineStr">
      <is>
        <t>SUNDAY</t>
      </is>
    </nc>
  </rcc>
  <rcc rId="282" sId="11">
    <nc r="AC2" t="inlineStr">
      <is>
        <t>MONDAY</t>
      </is>
    </nc>
  </rcc>
  <rcc rId="283" sId="11">
    <nc r="AD2" t="inlineStr">
      <is>
        <t>TUESDAY</t>
      </is>
    </nc>
  </rcc>
  <rrc rId="284" sId="11" eol="1" ref="A3:XFD3" action="insertRow"/>
  <rcc rId="285" sId="11">
    <nc r="A3">
      <v>1</v>
    </nc>
  </rcc>
  <rcc rId="286" sId="11">
    <nc r="B3">
      <v>2</v>
    </nc>
  </rcc>
  <rcc rId="287" sId="11">
    <nc r="C3">
      <v>3</v>
    </nc>
  </rcc>
  <rcc rId="288" sId="11">
    <nc r="D3">
      <v>4</v>
    </nc>
  </rcc>
  <rcc rId="289" sId="11">
    <nc r="E3">
      <v>5</v>
    </nc>
  </rcc>
  <rcc rId="290" sId="11">
    <nc r="F3">
      <v>6</v>
    </nc>
  </rcc>
  <rcc rId="291" sId="11">
    <nc r="G3">
      <v>7</v>
    </nc>
  </rcc>
  <rcc rId="292" sId="11">
    <nc r="H3">
      <v>8</v>
    </nc>
  </rcc>
  <rcc rId="293" sId="11">
    <nc r="I3">
      <v>9</v>
    </nc>
  </rcc>
  <rcc rId="294" sId="11">
    <nc r="J3">
      <v>10</v>
    </nc>
  </rcc>
  <rcc rId="295" sId="11">
    <nc r="K3">
      <v>11</v>
    </nc>
  </rcc>
  <rcc rId="296" sId="11">
    <nc r="L3">
      <v>12</v>
    </nc>
  </rcc>
  <rcc rId="297" sId="11">
    <nc r="M3">
      <v>13</v>
    </nc>
  </rcc>
  <rcc rId="298" sId="11">
    <nc r="N3">
      <v>14</v>
    </nc>
  </rcc>
  <rcc rId="299" sId="11">
    <nc r="O3">
      <v>15</v>
    </nc>
  </rcc>
  <rcc rId="300" sId="11">
    <nc r="P3">
      <v>16</v>
    </nc>
  </rcc>
  <rcc rId="301" sId="11">
    <nc r="Q3">
      <v>17</v>
    </nc>
  </rcc>
  <rcc rId="302" sId="11">
    <nc r="R3">
      <v>18</v>
    </nc>
  </rcc>
  <rcc rId="303" sId="11">
    <nc r="S3">
      <v>19</v>
    </nc>
  </rcc>
  <rcc rId="304" sId="11">
    <nc r="T3">
      <v>20</v>
    </nc>
  </rcc>
  <rcc rId="305" sId="11">
    <nc r="U3">
      <v>21</v>
    </nc>
  </rcc>
  <rcc rId="306" sId="11">
    <nc r="V3">
      <v>22</v>
    </nc>
  </rcc>
  <rcc rId="307" sId="11">
    <nc r="W3">
      <v>23</v>
    </nc>
  </rcc>
  <rcc rId="308" sId="11">
    <nc r="X3">
      <v>24</v>
    </nc>
  </rcc>
  <rcc rId="309" sId="11">
    <nc r="Y3">
      <v>25</v>
    </nc>
  </rcc>
  <rcc rId="310" sId="11">
    <nc r="Z3">
      <v>26</v>
    </nc>
  </rcc>
  <rcc rId="311" sId="11">
    <nc r="AA3">
      <v>27</v>
    </nc>
  </rcc>
  <rcc rId="312" sId="11">
    <nc r="AB3">
      <v>28</v>
    </nc>
  </rcc>
  <rcc rId="313" sId="11">
    <nc r="AC3">
      <v>29</v>
    </nc>
  </rcc>
  <rcc rId="314" sId="11">
    <nc r="AD3">
      <v>30</v>
    </nc>
  </rcc>
  <rrc rId="315" sId="11" eol="1" ref="A4:XFD4" action="insertRow"/>
  <rcc rId="316" sId="11" xfDxf="1" dxf="1">
    <nc r="A4">
      <f>SUMIF(A2:AD2, "MONDAY", A3:AD3)</f>
    </nc>
  </rcc>
  <rfmt sheetId="11" sqref="A3">
    <dxf>
      <fill>
        <patternFill patternType="solid">
          <bgColor rgb="FFFFFF00"/>
        </patternFill>
      </fill>
    </dxf>
  </rfmt>
  <rfmt sheetId="11" sqref="H3">
    <dxf>
      <fill>
        <patternFill patternType="solid">
          <bgColor rgb="FFFFFF00"/>
        </patternFill>
      </fill>
    </dxf>
  </rfmt>
  <rfmt sheetId="11" sqref="O3">
    <dxf>
      <fill>
        <patternFill patternType="solid">
          <bgColor rgb="FFFFFF00"/>
        </patternFill>
      </fill>
    </dxf>
  </rfmt>
  <rfmt sheetId="11" sqref="V3">
    <dxf>
      <fill>
        <patternFill patternType="solid">
          <bgColor rgb="FFFFFF00"/>
        </patternFill>
      </fill>
    </dxf>
  </rfmt>
  <rfmt sheetId="11" sqref="AC3">
    <dxf>
      <fill>
        <patternFill patternType="solid">
          <bgColor rgb="FFFFFF00"/>
        </patternFill>
      </fill>
    </dxf>
  </rfmt>
  <rrc rId="317" sId="11" eol="1" ref="A5:XFD5" action="insertRow"/>
  <rcc rId="318" sId="11" xfDxf="1" dxf="1">
    <nc r="A5">
      <f>COUNTIF(A2:AD2, "MONDAY")</f>
    </nc>
  </rcc>
  <rdn rId="319" name="_xlfn._xlws.FILTER" function="1" oldFunction="1" hidden="1" oldHidden="1">
    <formula>#NAME?</formula>
  </rdn>
  <rfmt sheetId="11" xfDxf="1" sqref="A6" start="0" length="0"/>
  <rfmt sheetId="11" xfDxf="1" sqref="A8" start="0" length="0"/>
  <rcc rId="320" sId="11">
    <nc r="A8">
      <f>COUNTIF(A2:AD2,"MONDAY")</f>
    </nc>
  </rcc>
  <rcc rId="321" sId="11">
    <nc r="A7">
      <f>COUNTIFS(A2:AD2,"MONDAY",A2:AD3,"MONDAY")</f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2" sId="1">
    <nc r="Q9">
      <f>COUNTIFS(D:D,"DGRANT",G:G,"SH_CLERK")</f>
    </nc>
  </rcc>
  <rcc rId="323" sId="1">
    <nc r="R8">
      <f>COUNTIF(G:G,"SH_CLERK")</f>
    </nc>
  </rcc>
  <rcc rId="324" sId="1">
    <nc r="L2">
      <f>SUMIF(G:G,"SH_CLERK",H:H)</f>
    </nc>
  </rcc>
  <rcc rId="325" sId="1">
    <nc r="L3">
      <f>SUMIFS(H:H,G:G,"SH_CLERK",D:D,"DGRANT")</f>
    </nc>
  </rcc>
  <rcc rId="326" sId="1">
    <nc r="L4">
      <f>COUNT(H:H)</f>
    </nc>
  </rcc>
  <rcc rId="327" sId="1">
    <nc r="L5">
      <f>COUNTA(H:H)-1</f>
    </nc>
  </rcc>
  <rcc rId="328" sId="1">
    <nc r="L6">
      <f>SUMIF(G:G,"AD_ASST",H:H)</f>
    </nc>
  </rcc>
  <rcc rId="329" sId="1">
    <nc r="L7">
      <f>SUMIF(H:H,"&gt;6500")</f>
    </nc>
  </rcc>
  <rcc rId="330" sId="1">
    <nc r="L8">
      <f>COUNTIF(G:G,"SH_CLERK")</f>
    </nc>
  </rcc>
  <rcc rId="331" sId="1">
    <nc r="L9">
      <f>COUNTIFS(G:G,"SH_CLERK",H:H,"&gt;3500")</f>
    </nc>
  </rcc>
  <rcc rId="332" sId="1">
    <nc r="L11">
      <f>AVERAGEIF(G:G,"MK_REP",H:H)</f>
    </nc>
  </rcc>
  <rcc rId="333" sId="1">
    <nc r="L12">
      <f>ROUND(N12,2)</f>
    </nc>
  </rcc>
  <rcc rId="334" sId="1">
    <nc r="L13">
      <f>ROUNDUP(N12,1)</f>
    </nc>
  </rcc>
  <rcc rId="335" sId="1">
    <nc r="L14">
      <f>ROUNDDOWN(N12,1)</f>
    </nc>
  </rcc>
  <rcc rId="336" sId="1">
    <nc r="L15">
      <f>CONCATENATE(B4," ",C4)</f>
    </nc>
  </rcc>
  <rdn rId="337" name="_xlfn.CONCAT" function="1" oldFunction="1" hidden="1" oldHidden="1">
    <formula>#NAME?</formula>
  </rdn>
  <rcc rId="338" sId="1">
    <nc r="L16">
      <f>_xlfn.CONCAT(B4," ",C4)</f>
    </nc>
  </rcc>
  <rcc rId="339" sId="1">
    <nc r="M19">
      <f>B2</f>
    </nc>
  </rcc>
  <rcc rId="340" sId="1">
    <nc r="L19">
      <f>TRIM(M19)</f>
    </nc>
  </rcc>
  <rcc rId="341" sId="1">
    <nc r="L21">
      <f>LEN(M19)</f>
    </nc>
  </rcc>
  <rcc rId="342" sId="1">
    <nc r="L22">
      <f>SQRT(L21)</f>
    </nc>
  </rcc>
  <rcc rId="343" sId="1">
    <nc r="L26">
      <f>IF(H:H=24000,"Pass","Fail")</f>
    </nc>
  </rcc>
  <rcc rId="344" sId="1">
    <nc r="L25">
      <f>IF(H25&gt;=11000,"Pass","FAIL")</f>
    </nc>
  </rcc>
  <rcc rId="345" sId="1">
    <nc r="L43">
      <f>AVERAGE(H:H)</f>
    </nc>
  </rcc>
  <rcc rId="346" sId="1">
    <nc r="L44">
      <f>MEDIAN(H:H)</f>
    </nc>
  </rcc>
  <rdn rId="347" name="_xlfn.MODE.MULT" function="1" oldFunction="1" hidden="1" oldHidden="1">
    <formula>#NAME?</formula>
  </rdn>
  <rcc rId="348" sId="1">
    <nc r="L45">
      <f>MODE(H:H)</f>
    </nc>
  </rcc>
  <rcc rId="349" sId="1">
    <nc r="L46">
      <f>_xlfn.MODE.MULT(H:H)</f>
    </nc>
  </rcc>
  <rdn rId="350" name="_xlfn.MODE.SNGL" function="1" oldFunction="1" hidden="1" oldHidden="1">
    <formula>#NAME?</formula>
  </rdn>
  <rcc rId="351" sId="1">
    <nc r="M46">
      <f>_xlfn.MODE.SNGL(H:H)</f>
    </nc>
  </rcc>
  <rcc rId="352" sId="1">
    <nc r="L49">
      <f>SMALL(H:H,2)</f>
    </nc>
  </rcc>
  <rcc rId="353" sId="1">
    <nc r="L48">
      <f>LARGE(H:H,2)</f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4" sId="11" ref="A4:XFD4" action="insertRow"/>
  <rcc rId="355" sId="11" odxf="1" dxf="1">
    <nc r="B4">
      <f>SUMIFS(B3:AE3,B2:AE2,"MONDAY",B2:AE2,"TUESDAY",B2:AE2,"WEDNESDAY",B2:AE2,"THURSDAY",B2:AE2,"FRIDAY",B2:AE2,"SATURDAY")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56" sId="11" odxf="1" dxf="1">
    <nc r="C4">
      <f>SUMIFS(C3:AF3,C2:AF2,"MONDAY",C2:AF2,"TUESDAY",C2:AF2,"WEDNESDAY",C2:AF2,"THURSDAY",C2:AF2,"FRIDAY",C2:AF2,"SATURDAY")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57" sId="11" odxf="1" dxf="1">
    <nc r="D4">
      <f>SUMIFS(D3:AG3,D2:AG2,"MONDAY",D2:AG2,"TUESDAY",D2:AG2,"WEDNESDAY",D2:AG2,"THURSDAY",D2:AG2,"FRIDAY",D2:AG2,"SATURDAY")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58" sId="11" odxf="1" dxf="1">
    <nc r="E4">
      <f>SUMIFS(E3:AH3,E2:AH2,"MONDAY",E2:AH2,"TUESDAY",E2:AH2,"WEDNESDAY",E2:AH2,"THURSDAY",E2:AH2,"FRIDAY",E2:AH2,"SATURDAY")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59" sId="11" odxf="1" dxf="1">
    <nc r="F4">
      <f>SUMIFS(F3:AI3,F2:AI2,"MONDAY",F2:AI2,"TUESDAY",F2:AI2,"WEDNESDAY",F2:AI2,"THURSDAY",F2:AI2,"FRIDAY",F2:AI2,"SATURDAY")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60" sId="11" odxf="1" dxf="1">
    <nc r="G4">
      <f>SUMIFS(G3:AJ3,G2:AJ2,"MONDAY",G2:AJ2,"TUESDAY",G2:AJ2,"WEDNESDAY",G2:AJ2,"THURSDAY",G2:AJ2,"FRIDAY",G2:AJ2,"SATURDAY")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61" sId="11">
    <nc r="H4">
      <f>SUMIFS(H3:AK3,H2:AK2,"MONDAY",H2:AK2,"TUESDAY",H2:AK2,"WEDNESDAY",H2:AK2,"THURSDAY",H2:AK2,"FRIDAY",H2:AK2,"SATURDAY")</f>
    </nc>
  </rcc>
  <rcc rId="362" sId="11" odxf="1" dxf="1">
    <nc r="I4">
      <f>SUMIFS(I3:AL3,I2:AL2,"MONDAY",I2:AL2,"TUESDAY",I2:AL2,"WEDNESDAY",I2:AL2,"THURSDAY",I2:AL2,"FRIDAY",I2:AL2,"SATURDAY")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63" sId="11" odxf="1" dxf="1">
    <nc r="J4">
      <f>SUMIFS(J3:AM3,J2:AM2,"MONDAY",J2:AM2,"TUESDAY",J2:AM2,"WEDNESDAY",J2:AM2,"THURSDAY",J2:AM2,"FRIDAY",J2:AM2,"SATURDAY")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64" sId="11" odxf="1" dxf="1">
    <nc r="K4">
      <f>SUMIFS(K3:AN3,K2:AN2,"MONDAY",K2:AN2,"TUESDAY",K2:AN2,"WEDNESDAY",K2:AN2,"THURSDAY",K2:AN2,"FRIDAY",K2:AN2,"SATURDAY")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65" sId="11" odxf="1" dxf="1">
    <nc r="L4">
      <f>SUMIFS(L3:AO3,L2:AO2,"MONDAY",L2:AO2,"TUESDAY",L2:AO2,"WEDNESDAY",L2:AO2,"THURSDAY",L2:AO2,"FRIDAY",L2:AO2,"SATURDAY")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66" sId="11" odxf="1" dxf="1">
    <nc r="M4">
      <f>SUMIFS(M3:AP3,M2:AP2,"MONDAY",M2:AP2,"TUESDAY",M2:AP2,"WEDNESDAY",M2:AP2,"THURSDAY",M2:AP2,"FRIDAY",M2:AP2,"SATURDAY")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67" sId="11" odxf="1" dxf="1">
    <nc r="N4">
      <f>SUMIFS(N3:AQ3,N2:AQ2,"MONDAY",N2:AQ2,"TUESDAY",N2:AQ2,"WEDNESDAY",N2:AQ2,"THURSDAY",N2:AQ2,"FRIDAY",N2:AQ2,"SATURDAY")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68" sId="11">
    <nc r="O4">
      <f>SUMIFS(O3:AR3,O2:AR2,"MONDAY",O2:AR2,"TUESDAY",O2:AR2,"WEDNESDAY",O2:AR2,"THURSDAY",O2:AR2,"FRIDAY",O2:AR2,"SATURDAY")</f>
    </nc>
  </rcc>
  <rcc rId="369" sId="11" odxf="1" dxf="1">
    <nc r="P4">
      <f>SUMIFS(P3:AS3,P2:AS2,"MONDAY",P2:AS2,"TUESDAY",P2:AS2,"WEDNESDAY",P2:AS2,"THURSDAY",P2:AS2,"FRIDAY",P2:AS2,"SATURDAY")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0" sId="11" odxf="1" dxf="1">
    <nc r="Q4">
      <f>SUMIFS(Q3:AT3,Q2:AT2,"MONDAY",Q2:AT2,"TUESDAY",Q2:AT2,"WEDNESDAY",Q2:AT2,"THURSDAY",Q2:AT2,"FRIDAY",Q2:AT2,"SATURDAY")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1" sId="11" odxf="1" dxf="1">
    <nc r="R4">
      <f>SUMIFS(R3:AU3,R2:AU2,"MONDAY",R2:AU2,"TUESDAY",R2:AU2,"WEDNESDAY",R2:AU2,"THURSDAY",R2:AU2,"FRIDAY",R2:AU2,"SATURDAY")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2" sId="11" odxf="1" dxf="1">
    <nc r="S4">
      <f>SUMIFS(S3:AV3,S2:AV2,"MONDAY",S2:AV2,"TUESDAY",S2:AV2,"WEDNESDAY",S2:AV2,"THURSDAY",S2:AV2,"FRIDAY",S2:AV2,"SATURDAY")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3" sId="11" odxf="1" dxf="1">
    <nc r="T4">
      <f>SUMIFS(T3:AW3,T2:AW2,"MONDAY",T2:AW2,"TUESDAY",T2:AW2,"WEDNESDAY",T2:AW2,"THURSDAY",T2:AW2,"FRIDAY",T2:AW2,"SATURDAY")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4" sId="11" odxf="1" dxf="1">
    <nc r="U4">
      <f>SUMIFS(U3:AX3,U2:AX2,"MONDAY",U2:AX2,"TUESDAY",U2:AX2,"WEDNESDAY",U2:AX2,"THURSDAY",U2:AX2,"FRIDAY",U2:AX2,"SATURDAY")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5" sId="11">
    <nc r="V4">
      <f>SUMIFS(V3:AY3,V2:AY2,"MONDAY",V2:AY2,"TUESDAY",V2:AY2,"WEDNESDAY",V2:AY2,"THURSDAY",V2:AY2,"FRIDAY",V2:AY2,"SATURDAY")</f>
    </nc>
  </rcc>
  <rcc rId="376" sId="11" odxf="1" dxf="1">
    <nc r="W4">
      <f>SUMIFS(W3:AZ3,W2:AZ2,"MONDAY",W2:AZ2,"TUESDAY",W2:AZ2,"WEDNESDAY",W2:AZ2,"THURSDAY",W2:AZ2,"FRIDAY",W2:AZ2,"SATURDAY")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7" sId="11" odxf="1" dxf="1">
    <nc r="X4">
      <f>SUMIFS(X3:BA3,X2:BA2,"MONDAY",X2:BA2,"TUESDAY",X2:BA2,"WEDNESDAY",X2:BA2,"THURSDAY",X2:BA2,"FRIDAY",X2:BA2,"SATURDAY")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8" sId="11" odxf="1" dxf="1">
    <nc r="Y4">
      <f>SUMIFS(Y3:BB3,Y2:BB2,"MONDAY",Y2:BB2,"TUESDAY",Y2:BB2,"WEDNESDAY",Y2:BB2,"THURSDAY",Y2:BB2,"FRIDAY",Y2:BB2,"SATURDAY")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79" sId="11" odxf="1" dxf="1">
    <nc r="Z4">
      <f>SUMIFS(Z3:BC3,Z2:BC2,"MONDAY",Z2:BC2,"TUESDAY",Z2:BC2,"WEDNESDAY",Z2:BC2,"THURSDAY",Z2:BC2,"FRIDAY",Z2:BC2,"SATURDAY")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80" sId="11" odxf="1" dxf="1">
    <nc r="AA4">
      <f>SUMIFS(AA3:BD3,AA2:BD2,"MONDAY",AA2:BD2,"TUESDAY",AA2:BD2,"WEDNESDAY",AA2:BD2,"THURSDAY",AA2:BD2,"FRIDAY",AA2:BD2,"SATURDAY")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81" sId="11" odxf="1" dxf="1">
    <nc r="AB4">
      <f>SUMIFS(AB3:BE3,AB2:BE2,"MONDAY",AB2:BE2,"TUESDAY",AB2:BE2,"WEDNESDAY",AB2:BE2,"THURSDAY",AB2:BE2,"FRIDAY",AB2:BE2,"SATURDAY")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82" sId="11">
    <nc r="AC4">
      <f>SUMIFS(AC3:BF3,AC2:BF2,"MONDAY",AC2:BF2,"TUESDAY",AC2:BF2,"WEDNESDAY",AC2:BF2,"THURSDAY",AC2:BF2,"FRIDAY",AC2:BF2,"SATURDAY")</f>
    </nc>
  </rcc>
  <rcc rId="383" sId="11" odxf="1" dxf="1">
    <nc r="AD4">
      <f>SUMIFS(AD3:BG3,AD2:BG2,"MONDAY",AD2:BG2,"TUESDAY",AD2:BG2,"WEDNESDAY",AD2:BG2,"THURSDAY",AD2:BG2,"FRIDAY",AD2:BG2,"SATURDAY")</f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84" sId="11" xfDxf="1" dxf="1">
    <nc r="A7">
      <f>SUMPRODUCT(((A2:AD2="MONDAY") + (A2:AD2="TUESDAY") + (A2:AD2="WEDNESDAY") + (A2:AD2="THURSDAY") + (A2:AD2="FRIDAY") + (A2:AD2="SATURDAY")) * A3:AD3)</f>
    </nc>
  </rcc>
  <rcc rId="385" sId="11">
    <nc r="A4">
      <f>SUMIFS(A3:AD3,A2:AD2,"MONDAY")</f>
    </nc>
  </rcc>
  <rdn rId="386" name="_xlfn._xlws.FILTER" function="1" oldFunction="1" hidden="1" oldHidden="1">
    <formula>#NAME?</formula>
  </rdn>
  <rcc rId="387" sId="11" xfDxf="1" dxf="1">
    <oc r="A8">
      <f>COUNTIFS(A2:AD2,"MONDAY",A2:AD3,"MONDAY")</f>
    </oc>
    <nc r="A8">
      <f>SUM(_xlfn._xlws.FILTER(A3:AD3, A2:AD2&lt;&gt;"SUNDAY"))</f>
    </nc>
  </rcc>
  <rcv guid="{17B4BC62-A64E-4181-AF33-17F939339C15}" action="delete"/>
  <rdn rId="0" localSheetId="1" customView="1" name="Z_17B4BC62_A64E_4181_AF33_17F939339C15_.wvu.FilterData" hidden="1" oldHidden="1">
    <formula>employees!$A$1:$K$51</formula>
    <oldFormula>employees!$A$1:$K$51</oldFormula>
  </rdn>
  <rdn rId="0" localSheetId="3" customView="1" name="Z_17B4BC62_A64E_4181_AF33_17F939339C15_.wvu.FilterData" hidden="1" oldHidden="1">
    <formula>Module2!$H$1:$H$51</formula>
    <oldFormula>Module2!$H$1:$H$51</oldFormula>
  </rdn>
  <rdn rId="0" localSheetId="7" customView="1" name="Z_17B4BC62_A64E_4181_AF33_17F939339C15_.wvu.Rows" hidden="1" oldHidden="1">
    <formula>'Scenario Summary'!$4:$4</formula>
    <oldFormula>'Scenario Summary'!$4:$4</oldFormula>
  </rdn>
  <rdn rId="0" localSheetId="8" customView="1" name="Z_17B4BC62_A64E_4181_AF33_17F939339C15_.wvu.FilterData" hidden="1" oldHidden="1">
    <formula>Module4!$N$97:$Q$102</formula>
    <oldFormula>Module4!$N$97:$Q$102</oldFormula>
  </rdn>
  <rcv guid="{17B4BC62-A64E-4181-AF33-17F939339C15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" sId="11">
    <oc r="A4">
      <f>SUMIFS(A3:AD3,A2:AD2,"MONDAY")</f>
    </oc>
    <nc r="A4">
      <f>SUMIFS(A3:AD3,A2:AD2,"MONDAY")</f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3" sId="11">
    <oc r="B4">
      <f>SUMIFS(B3:AE3,B2:AE2,"MONDAY",B2:AE2,"TUESDAY",B2:AE2,"WEDNESDAY",B2:AE2,"THURSDAY",B2:AE2,"FRIDAY",B2:AE2,"SATURDAY")</f>
    </oc>
    <nc r="B4">
      <f>SUMIFS(B3:AE3,B2:AE2,"TUESDAY")</f>
    </nc>
  </rcc>
  <rrc rId="394" sId="11" eol="1" ref="A10:XFD10" action="insertRow"/>
  <rrc rId="395" sId="11" eol="1" ref="A11:XFD11" action="insertRow"/>
  <rrc rId="396" sId="11" eol="1" ref="A12:XFD12" action="insertRow"/>
  <rrc rId="397" sId="11" eol="1" ref="A13:XFD13" action="insertRow"/>
  <rcc rId="398" sId="11">
    <nc r="C9" t="inlineStr">
      <is>
        <t>A</t>
      </is>
    </nc>
  </rcc>
  <rcc rId="399" sId="11">
    <nc r="C10" t="inlineStr">
      <is>
        <t>B</t>
      </is>
    </nc>
  </rcc>
  <rcc rId="400" sId="11">
    <nc r="C11" t="inlineStr">
      <is>
        <t>C</t>
      </is>
    </nc>
  </rcc>
  <rcc rId="401" sId="11">
    <nc r="C12" t="inlineStr">
      <is>
        <t>D</t>
      </is>
    </nc>
  </rcc>
  <rcc rId="402" sId="11">
    <nc r="C13" t="inlineStr">
      <is>
        <t>E</t>
      </is>
    </nc>
  </rcc>
  <rcc rId="403" sId="11">
    <nc r="D9">
      <v>10</v>
    </nc>
  </rcc>
  <rcc rId="404" sId="11">
    <nc r="D10">
      <v>11</v>
    </nc>
  </rcc>
  <rcc rId="405" sId="11">
    <nc r="D11">
      <v>12</v>
    </nc>
  </rcc>
  <rcc rId="406" sId="11">
    <nc r="D12">
      <v>13</v>
    </nc>
  </rcc>
  <rcc rId="407" sId="11">
    <nc r="D13">
      <v>14</v>
    </nc>
  </rcc>
  <rcc rId="408" sId="11">
    <nc r="C14" t="inlineStr">
      <is>
        <t>A</t>
      </is>
    </nc>
  </rcc>
  <rcc rId="409" sId="11">
    <nc r="D14">
      <v>10</v>
    </nc>
  </rcc>
  <rcc rId="410" sId="11">
    <nc r="C15" t="inlineStr">
      <is>
        <t>B</t>
      </is>
    </nc>
  </rcc>
  <rcc rId="411" sId="11">
    <nc r="D15">
      <v>11</v>
    </nc>
  </rcc>
  <rcc rId="412" sId="11">
    <nc r="C16" t="inlineStr">
      <is>
        <t>C</t>
      </is>
    </nc>
  </rcc>
  <rcc rId="413" sId="11">
    <nc r="D16">
      <v>12</v>
    </nc>
  </rcc>
  <rcc rId="414" sId="11">
    <nc r="C17" t="inlineStr">
      <is>
        <t>D</t>
      </is>
    </nc>
  </rcc>
  <rcc rId="415" sId="11">
    <nc r="D17">
      <v>13</v>
    </nc>
  </rcc>
  <rcc rId="416" sId="11">
    <nc r="C18" t="inlineStr">
      <is>
        <t>E</t>
      </is>
    </nc>
  </rcc>
  <rcc rId="417" sId="11">
    <nc r="D18">
      <v>14</v>
    </nc>
  </rcc>
  <rrc rId="418" sId="11" eol="1" ref="A19:XFD19" action="insertRow"/>
  <rcc rId="419" sId="11">
    <nc r="C19">
      <f>COUNTIF(C9:C18,"A")</f>
    </nc>
  </rcc>
  <rrc rId="420" sId="11" eol="1" ref="A20:XFD20" action="insertRow"/>
  <rcc rId="421" sId="11">
    <nc r="C20">
      <f>COUNTIFS(C9:C18,"E",D9:D18,"&gt;10")</f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22" sheetId="12" name="[employees1.xlsx]Sheet3" sheetPosition="11"/>
  <rcc rId="423" sId="12">
    <nc r="A1" t="inlineStr">
      <is>
        <t xml:space="preserve"> Name</t>
      </is>
    </nc>
  </rcc>
  <rcc rId="424" sId="12">
    <nc r="B1" t="inlineStr">
      <is>
        <t>Physics</t>
      </is>
    </nc>
  </rcc>
  <rcc rId="425" sId="12">
    <nc r="C1" t="inlineStr">
      <is>
        <t>Chemistory</t>
      </is>
    </nc>
  </rcc>
  <rcc rId="426" sId="12">
    <nc r="D1" t="inlineStr">
      <is>
        <t>Math</t>
      </is>
    </nc>
  </rcc>
  <rrc rId="427" sId="12" eol="1" ref="A2:XFD2" action="insertRow"/>
  <rcc rId="428" sId="12">
    <nc r="E1" t="inlineStr">
      <is>
        <t>Average</t>
      </is>
    </nc>
  </rcc>
  <rcc rId="429" sId="12">
    <nc r="A2" t="inlineStr">
      <is>
        <t>Madhav</t>
      </is>
    </nc>
  </rcc>
  <rrc rId="430" sId="12" eol="1" ref="A3:XFD3" action="insertRow"/>
  <rcc rId="431" sId="12">
    <nc r="A3" t="inlineStr">
      <is>
        <t>Ram</t>
      </is>
    </nc>
  </rcc>
  <rrc rId="432" sId="12" eol="1" ref="A4:XFD4" action="insertRow"/>
  <rcc rId="433" sId="12">
    <nc r="A4" t="inlineStr">
      <is>
        <t>Visakha</t>
      </is>
    </nc>
  </rcc>
  <rrc rId="434" sId="12" eol="1" ref="A5:XFD5" action="insertRow"/>
  <rcc rId="435" sId="12">
    <nc r="A5" t="inlineStr">
      <is>
        <t>Sam</t>
      </is>
    </nc>
  </rcc>
  <rrc rId="436" sId="12" eol="1" ref="A6:XFD6" action="insertRow"/>
  <rcc rId="437" sId="12">
    <nc r="A6" t="inlineStr">
      <is>
        <t>Risabh</t>
      </is>
    </nc>
  </rcc>
  <rcc rId="438" sId="12">
    <nc r="B2">
      <v>91</v>
    </nc>
  </rcc>
  <rcc rId="439" sId="12">
    <nc r="C2">
      <v>100</v>
    </nc>
  </rcc>
  <rcc rId="440" sId="12">
    <nc r="D2">
      <v>96</v>
    </nc>
  </rcc>
  <rcc rId="441" sId="12">
    <nc r="B3">
      <v>95</v>
    </nc>
  </rcc>
  <rcc rId="442" sId="12">
    <nc r="C3">
      <v>93</v>
    </nc>
  </rcc>
  <rcc rId="443" sId="12">
    <nc r="D3">
      <v>90</v>
    </nc>
  </rcc>
  <rcc rId="444" sId="12">
    <nc r="B4">
      <v>91</v>
    </nc>
  </rcc>
  <rcc rId="445" sId="12">
    <nc r="C4">
      <v>95</v>
    </nc>
  </rcc>
  <rcc rId="446" sId="12">
    <nc r="D4">
      <v>92</v>
    </nc>
  </rcc>
  <rcc rId="447" sId="12">
    <nc r="B5">
      <v>71</v>
    </nc>
  </rcc>
  <rcc rId="448" sId="12">
    <nc r="C5">
      <v>89</v>
    </nc>
  </rcc>
  <rcc rId="449" sId="12">
    <nc r="D5">
      <v>64</v>
    </nc>
  </rcc>
  <rcc rId="450" sId="12">
    <nc r="B6">
      <v>64</v>
    </nc>
  </rcc>
  <rcc rId="451" sId="12">
    <nc r="C6">
      <v>77</v>
    </nc>
  </rcc>
  <rcc rId="452" sId="12">
    <nc r="D6">
      <v>90</v>
    </nc>
  </rcc>
  <rrc rId="453" sId="12" eol="1" ref="A7:XFD7" action="insertRow"/>
  <rcc rId="454" sId="12">
    <nc r="A7" t="inlineStr">
      <is>
        <t>Total NO</t>
      </is>
    </nc>
  </rcc>
  <rfmt sheetId="12" xfDxf="1" sqref="E2" start="0" length="0"/>
  <rfmt sheetId="12" xfDxf="1" sqref="E2" start="0" length="0"/>
  <rcc rId="455" sId="12" xfDxf="1" dxf="1">
    <nc r="E2">
      <f>AVERAGE(B2:D2)</f>
    </nc>
  </rcc>
  <rcc rId="456" sId="12">
    <nc r="E3">
      <f>AVERAGE(B3:D3)</f>
    </nc>
  </rcc>
  <rcc rId="457" sId="12">
    <nc r="E4">
      <f>AVERAGE(B4:D4)</f>
    </nc>
  </rcc>
  <rcc rId="458" sId="12">
    <nc r="E5">
      <f>AVERAGE(B5:D5)</f>
    </nc>
  </rcc>
  <rcc rId="459" sId="12">
    <nc r="E6">
      <f>AVERAGE(B6:D6)</f>
    </nc>
  </rcc>
  <rcc rId="460" sId="12" xfDxf="1" dxf="1">
    <nc r="B7">
      <f>SUM(B2:B6)</f>
    </nc>
  </rcc>
  <rcc rId="461" sId="12">
    <nc r="C7">
      <f>SUM(C2:C6)</f>
    </nc>
  </rcc>
  <rcc rId="462" sId="12">
    <nc r="D7">
      <f>SUM(D2:D6)</f>
    </nc>
  </rcc>
  <rcc rId="463" sId="12">
    <nc r="E7">
      <f>SUM(E2:E6)</f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2:E6">
    <dxf>
      <numFmt numFmtId="165" formatCode="0.0000"/>
    </dxf>
  </rfmt>
  <rfmt sheetId="12" sqref="E2:E6">
    <dxf>
      <numFmt numFmtId="166" formatCode="0.000"/>
    </dxf>
  </rfmt>
  <rfmt sheetId="12" sqref="E2:E6">
    <dxf>
      <numFmt numFmtId="2" formatCode="0.00"/>
    </dxf>
  </rfmt>
  <rfmt sheetId="12" sqref="E2:E6">
    <dxf>
      <numFmt numFmtId="167" formatCode="0.0"/>
    </dxf>
  </rfmt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4" sId="12">
    <nc r="A10" t="inlineStr">
      <is>
        <t xml:space="preserve"> Name</t>
      </is>
    </nc>
  </rcc>
  <rcc rId="465" sId="12">
    <nc r="A11" t="inlineStr">
      <is>
        <t>Madhav</t>
      </is>
    </nc>
  </rcc>
  <rcc rId="466" sId="12">
    <nc r="A12" t="inlineStr">
      <is>
        <t>Ram</t>
      </is>
    </nc>
  </rcc>
  <rcc rId="467" sId="12">
    <nc r="A13" t="inlineStr">
      <is>
        <t>Visakha</t>
      </is>
    </nc>
  </rcc>
  <rcc rId="468" sId="12">
    <nc r="A14" t="inlineStr">
      <is>
        <t>Sam</t>
      </is>
    </nc>
  </rcc>
  <rcc rId="469" sId="12">
    <nc r="A15" t="inlineStr">
      <is>
        <t>Risabh</t>
      </is>
    </nc>
  </rcc>
  <rcc rId="470" sId="12">
    <nc r="B10" t="inlineStr">
      <is>
        <t>Marks</t>
      </is>
    </nc>
  </rcc>
  <rcc rId="471" sId="12">
    <nc r="C10" t="inlineStr">
      <is>
        <t>Grade</t>
      </is>
    </nc>
  </rcc>
  <rcc rId="472" sId="12">
    <nc r="B11">
      <v>91</v>
    </nc>
  </rcc>
  <rcc rId="473" sId="12">
    <nc r="B12">
      <v>95</v>
    </nc>
  </rcc>
  <rcc rId="474" sId="12">
    <nc r="B13">
      <v>89</v>
    </nc>
  </rcc>
  <rcc rId="475" sId="12">
    <nc r="B14">
      <v>64</v>
    </nc>
  </rcc>
  <rcc rId="476" sId="12">
    <nc r="B15">
      <v>77</v>
    </nc>
  </rcc>
  <rfmt sheetId="12" xfDxf="1" sqref="C11" start="0" length="0"/>
  <rcc rId="477" sId="12" xfDxf="1" dxf="1">
    <nc r="C11">
      <f>IF(B11&gt;=90,"A",IF(B11&gt;=80,"B",IF(B11&gt;=70,"C","D")))</f>
    </nc>
  </rcc>
  <rcc rId="478" sId="12">
    <nc r="C12">
      <f>IF(B12&gt;=90,"A",IF(B12&gt;=80,"B",IF(B12&gt;=70,"C","D")))</f>
    </nc>
  </rcc>
  <rcc rId="479" sId="12">
    <nc r="C13">
      <f>IF(B13&gt;=90,"A",IF(B13&gt;=80,"B",IF(B13&gt;=70,"C","D")))</f>
    </nc>
  </rcc>
  <rcc rId="480" sId="12">
    <nc r="C14">
      <f>IF(B14&gt;=90,"A",IF(B14&gt;=80,"B",IF(B14&gt;=70,"C","D")))</f>
    </nc>
  </rcc>
  <rcc rId="481" sId="12">
    <nc r="C15">
      <f>IF(B15&gt;=90,"A",IF(B15&gt;=80,"B",IF(B15&gt;=70,"C","D")))</f>
    </nc>
  </rcc>
  <rcc rId="482" sId="12">
    <nc r="H1" t="inlineStr">
      <is>
        <t>Fruit</t>
      </is>
    </nc>
  </rcc>
  <rcc rId="483" sId="12">
    <nc r="I1" t="inlineStr">
      <is>
        <t>Price</t>
      </is>
    </nc>
  </rcc>
  <rcc rId="484" sId="12">
    <nc r="H2" t="inlineStr">
      <is>
        <t>apple</t>
      </is>
    </nc>
  </rcc>
  <rcc rId="485" sId="12">
    <nc r="H3" t="inlineStr">
      <is>
        <t>cherry</t>
      </is>
    </nc>
  </rcc>
  <rcc rId="486" sId="12">
    <nc r="H4" t="inlineStr">
      <is>
        <t>banana</t>
      </is>
    </nc>
  </rcc>
  <rcc rId="487" sId="12">
    <nc r="H5" t="inlineStr">
      <is>
        <t>grapes</t>
      </is>
    </nc>
  </rcc>
  <rcc rId="488" sId="12">
    <nc r="H6" t="inlineStr">
      <is>
        <t>mango</t>
      </is>
    </nc>
  </rcc>
  <rcc rId="489" sId="12">
    <nc r="I2">
      <v>250</v>
    </nc>
  </rcc>
  <rcc rId="490" sId="12">
    <nc r="I3">
      <v>350</v>
    </nc>
  </rcc>
  <rcc rId="491" sId="12">
    <nc r="I4">
      <v>50</v>
    </nc>
  </rcc>
  <rcc rId="492" sId="12">
    <nc r="I5">
      <v>200</v>
    </nc>
  </rcc>
  <rcc rId="493" sId="12">
    <nc r="I6">
      <v>150</v>
    </nc>
  </rcc>
  <rcc rId="494" sId="12">
    <nc r="K2" t="inlineStr">
      <is>
        <t>Fruit</t>
      </is>
    </nc>
  </rcc>
  <rcc rId="495" sId="12">
    <nc r="L2" t="inlineStr">
      <is>
        <t>Price</t>
      </is>
    </nc>
  </rcc>
  <rcc rId="496" sId="12" xfDxf="1" dxf="1">
    <nc r="L3">
      <f>VLOOKUP(K3, H1:I6, 2, FALSE)</f>
    </nc>
  </rcc>
  <rcc rId="497" sId="12">
    <nc r="M3">
      <f>VLOOKUP(K3,H2:I6,2,0)</f>
    </nc>
  </rcc>
  <rcc rId="498" sId="12">
    <nc r="K3" t="inlineStr">
      <is>
        <t>apple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9" sId="12">
    <nc r="H7" t="inlineStr">
      <is>
        <t>mango</t>
      </is>
    </nc>
  </rcc>
  <rrc rId="500" sId="12" eol="1" ref="A8:XFD8" action="insertRow"/>
  <rcc rId="501" sId="12">
    <nc r="H8" t="inlineStr">
      <is>
        <t>apple</t>
      </is>
    </nc>
  </rcc>
  <rdn rId="502" name="_xlfn.UNIQUE" function="1" oldFunction="1" hidden="1" oldHidden="1">
    <formula>#NAME?</formula>
  </rdn>
  <rcc rId="503" sId="12">
    <nc r="O2">
      <f>_xlfn.UNIQUE(H2:H8)</f>
    </nc>
  </rcc>
  <rcc rId="504" sId="12">
    <nc r="O3">
      <f>_xlfn.UNIQUE(H3:H9)</f>
    </nc>
  </rcc>
  <rcc rId="505" sId="12">
    <nc r="O4">
      <f>_xlfn.UNIQUE(H4:H10)</f>
    </nc>
  </rcc>
  <rcc rId="506" sId="12">
    <nc r="O5">
      <f>_xlfn.UNIQUE(H5:H11)</f>
    </nc>
  </rcc>
  <rcc rId="507" sId="12">
    <nc r="O6">
      <f>_xlfn.UNIQUE(H6:H12)</f>
    </nc>
  </rcc>
  <rcv guid="{17B4BC62-A64E-4181-AF33-17F939339C15}" action="delete"/>
  <rdn rId="0" localSheetId="1" customView="1" name="Z_17B4BC62_A64E_4181_AF33_17F939339C15_.wvu.FilterData" hidden="1" oldHidden="1">
    <formula>employees!$A$1:$K$51</formula>
    <oldFormula>employees!$A$1:$K$51</oldFormula>
  </rdn>
  <rdn rId="0" localSheetId="3" customView="1" name="Z_17B4BC62_A64E_4181_AF33_17F939339C15_.wvu.FilterData" hidden="1" oldHidden="1">
    <formula>Module2!$H$1:$H$51</formula>
    <oldFormula>Module2!$H$1:$H$51</oldFormula>
  </rdn>
  <rdn rId="0" localSheetId="7" customView="1" name="Z_17B4BC62_A64E_4181_AF33_17F939339C15_.wvu.Rows" hidden="1" oldHidden="1">
    <formula>'Scenario Summary'!$4:$4</formula>
    <oldFormula>'Scenario Summary'!$4:$4</oldFormula>
  </rdn>
  <rdn rId="0" localSheetId="8" customView="1" name="Z_17B4BC62_A64E_4181_AF33_17F939339C15_.wvu.FilterData" hidden="1" oldHidden="1">
    <formula>Module4!$N$97:$Q$102</formula>
    <oldFormula>Module4!$N$97:$Q$102</oldFormula>
  </rdn>
  <rcv guid="{17B4BC62-A64E-4181-AF33-17F939339C15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" sId="1">
    <oc r="L11">
      <f>AVERAGEIF(G:G,"MK_REP",H:H)</f>
    </oc>
    <nc r="L11"/>
  </rcc>
  <rcc rId="513" sId="1">
    <oc r="L12">
      <f>ROUND(N12,2)</f>
    </oc>
    <nc r="L12"/>
  </rcc>
  <rcc rId="514" sId="1">
    <oc r="L13">
      <f>ROUNDUP(N12,1)</f>
    </oc>
    <nc r="L13"/>
  </rcc>
  <rcc rId="515" sId="1">
    <oc r="L14">
      <f>ROUNDDOWN(N12,1)</f>
    </oc>
    <nc r="L14"/>
  </rcc>
  <rcc rId="516" sId="1">
    <oc r="L15">
      <f>CONCATENATE(B4," ",C4)</f>
    </oc>
    <nc r="L15"/>
  </rcc>
  <rcc rId="517" sId="1">
    <oc r="L16">
      <f>_xlfn.CONCAT(B4," ",C4)</f>
    </oc>
    <nc r="L16"/>
  </rcc>
  <rcc rId="518" sId="1">
    <oc r="L19">
      <f>TRIM(M19)</f>
    </oc>
    <nc r="L19"/>
  </rcc>
  <rcc rId="519" sId="1">
    <oc r="L21">
      <f>LEN(M19)</f>
    </oc>
    <nc r="L21"/>
  </rcc>
  <rcc rId="520" sId="1">
    <oc r="L22">
      <f>SQRT(L21)</f>
    </oc>
    <nc r="L22"/>
  </rcc>
  <rcc rId="521" sId="1">
    <oc r="L25">
      <f>IF(H25&gt;=11000,"Pass","FAIL")</f>
    </oc>
    <nc r="L25"/>
  </rcc>
  <rcc rId="522" sId="1">
    <oc r="L26">
      <f>IF(H:H=24000,"Pass","Fail")</f>
    </oc>
    <nc r="L26"/>
  </rcc>
  <rcc rId="523" sId="1">
    <oc r="L43">
      <f>AVERAGE(H:H)</f>
    </oc>
    <nc r="L43"/>
  </rcc>
  <rcc rId="524" sId="1">
    <oc r="L44">
      <f>MEDIAN(H:H)</f>
    </oc>
    <nc r="L44"/>
  </rcc>
  <rcc rId="525" sId="1">
    <oc r="L45">
      <f>MODE(H:H)</f>
    </oc>
    <nc r="L45"/>
  </rcc>
  <rcc rId="526" sId="1">
    <oc r="L46">
      <f>_xlfn.MODE.MULT(H:H)</f>
    </oc>
    <nc r="L46"/>
  </rcc>
  <rcc rId="527" sId="1">
    <oc r="L48">
      <f>LARGE(H:H,2)</f>
    </oc>
    <nc r="L48"/>
  </rcc>
  <rcc rId="528" sId="1">
    <oc r="L49">
      <f>SMALL(H:H,2)</f>
    </oc>
    <nc r="L49"/>
  </rcc>
  <rcc rId="529" sId="1">
    <oc r="L2">
      <f>SUMIF(G:G,"SH_CLERK",H:H)</f>
    </oc>
    <nc r="L2">
      <f>SUM(H:H)</f>
    </nc>
  </rcc>
  <rcc rId="530" sId="1">
    <oc r="L3">
      <f>SUMIFS(H:H,G:G,"SH_CLERK",D:D,"DGRANT")</f>
    </oc>
    <nc r="L3">
      <f>SUMIF(H:H,"&gt;15000")</f>
    </nc>
  </rcc>
  <rcc rId="531" sId="1">
    <oc r="L4">
      <f>COUNT(H:H)</f>
    </oc>
    <nc r="L4">
      <f>SUMIF(G:G,"AC_MGR",J:J)</f>
    </nc>
  </rcc>
  <rcc rId="532" sId="1">
    <oc r="L5">
      <f>COUNTA(H:H)-1</f>
    </oc>
    <nc r="L5">
      <f>SUMIFS(H:H,C:C,"Grant",G:G,"SH_CLERK")</f>
    </nc>
  </rcc>
  <rcc rId="533" sId="1">
    <oc r="L6">
      <f>SUMIF(G:G,"AD_ASST",H:H)</f>
    </oc>
    <nc r="L6">
      <f>SUMIF(D:D,"DGRANT",H:H)</f>
    </nc>
  </rcc>
  <rcc rId="534" sId="1">
    <oc r="L7">
      <f>SUMIF(H:H,"&gt;6500")</f>
    </oc>
    <nc r="L7">
      <f>COUNT(H:H)</f>
    </nc>
  </rcc>
  <rfmt sheetId="1" sqref="N5" start="0" length="2147483647">
    <dxf>
      <font>
        <color rgb="FFFF0000"/>
      </font>
    </dxf>
  </rfmt>
  <rfmt sheetId="1" sqref="P5:S5" start="0" length="2147483647">
    <dxf>
      <font>
        <color rgb="FFFF0000"/>
      </font>
    </dxf>
  </rfmt>
  <rcc rId="535" sId="1">
    <oc r="L8">
      <f>COUNTIF(G:G,"SH_CLERK")</f>
    </oc>
    <nc r="L8">
      <f>COUNTA(D:D)-1</f>
    </nc>
  </rcc>
  <rcc rId="536" sId="1">
    <oc r="J11" t="inlineStr">
      <is>
        <t xml:space="preserve"> - </t>
      </is>
    </oc>
    <nc r="J11"/>
  </rcc>
  <rcc rId="537" sId="1">
    <oc r="L9">
      <f>COUNTIFS(G:G,"SH_CLERK",H:H,"&gt;3500")</f>
    </oc>
    <nc r="L9">
      <f>COUNTBLANK(J:J)</f>
    </nc>
  </rcc>
  <rcv guid="{17B4BC62-A64E-4181-AF33-17F939339C15}" action="delete"/>
  <rdn rId="0" localSheetId="1" customView="1" name="Z_17B4BC62_A64E_4181_AF33_17F939339C15_.wvu.FilterData" hidden="1" oldHidden="1">
    <formula>employees!$A$1:$K$51</formula>
    <oldFormula>employees!$A$1:$K$51</oldFormula>
  </rdn>
  <rdn rId="0" localSheetId="3" customView="1" name="Z_17B4BC62_A64E_4181_AF33_17F939339C15_.wvu.FilterData" hidden="1" oldHidden="1">
    <formula>Module2!$H$1:$H$51</formula>
    <oldFormula>Module2!$H$1:$H$51</oldFormula>
  </rdn>
  <rdn rId="0" localSheetId="7" customView="1" name="Z_17B4BC62_A64E_4181_AF33_17F939339C15_.wvu.Rows" hidden="1" oldHidden="1">
    <formula>'Scenario Summary'!$4:$4</formula>
    <oldFormula>'Scenario Summary'!$4:$4</oldFormula>
  </rdn>
  <rdn rId="0" localSheetId="8" customView="1" name="Z_17B4BC62_A64E_4181_AF33_17F939339C15_.wvu.FilterData" hidden="1" oldHidden="1">
    <formula>Module4!$N$97:$Q$102</formula>
    <oldFormula>Module4!$N$97:$Q$102</oldFormula>
  </rdn>
  <rcv guid="{17B4BC62-A64E-4181-AF33-17F939339C15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2" sId="1">
    <oc r="B6" t="inlineStr">
      <is>
        <t>Pat</t>
      </is>
    </oc>
    <nc r="B6"/>
  </rcc>
  <rfmt sheetId="1" sqref="L9">
    <dxf>
      <numFmt numFmtId="2" formatCode="0.00"/>
    </dxf>
  </rfmt>
  <rfmt sheetId="1" sqref="L9">
    <dxf>
      <numFmt numFmtId="0" formatCode="General"/>
    </dxf>
  </rfmt>
  <rcc rId="543" sId="1">
    <oc r="L9">
      <f>COUNTBLANK(J:J)</f>
    </oc>
    <nc r="L9">
      <f>COUNTIF(G:G,"SH_CLERK")</f>
    </nc>
  </rcc>
  <rcc rId="544" sId="1">
    <nc r="L10">
      <f>COUNTIFS(G:G,"MK_MAN",H:H,"&lt;=24000")</f>
    </nc>
  </rcc>
  <rcc rId="545" sId="1">
    <nc r="L11">
      <f>AVERAGE(H:H)</f>
    </nc>
  </rcc>
  <rcc rId="546" sId="1">
    <nc r="L12">
      <f>AVERAGEA(H:H)</f>
    </nc>
  </rcc>
  <rfmt sheetId="1" sqref="N10" start="0" length="2147483647">
    <dxf>
      <font>
        <color rgb="FFFF0000"/>
      </font>
    </dxf>
  </rfmt>
  <rcc rId="547" sId="1">
    <nc r="M13">
      <v>1</v>
    </nc>
  </rcc>
  <rcc rId="548" sId="1">
    <nc r="M14">
      <v>2</v>
    </nc>
  </rcc>
  <rcc rId="549" sId="1">
    <nc r="M15">
      <v>3</v>
    </nc>
  </rcc>
  <rcc rId="550" sId="1">
    <nc r="L13">
      <f>AVERAGEIF(G:G,"MK_REP",H:H)</f>
    </nc>
  </rcc>
  <rdn rId="551" name="_xlfn.AVERAGEIFS" function="1" oldFunction="1" hidden="1" oldHidden="1">
    <formula>#NAME?</formula>
  </rdn>
  <rcc rId="552" sId="1">
    <nc r="L14">
      <f>AVERAGEIFS(H:H,D:D,"DGRANT",G:G,"SH_CLERK")</f>
    </nc>
  </rcc>
  <rcc rId="553" sId="1">
    <nc r="L15">
      <f>ROUND(N12,3)</f>
    </nc>
  </rcc>
  <rcc rId="554" sId="1">
    <nc r="L16">
      <f>ROUNDUP(N12,1)</f>
    </nc>
  </rcc>
  <rcc rId="555" sId="1">
    <nc r="L17">
      <f>ROUNDDOWN(N12,2)</f>
    </nc>
  </rcc>
  <rcc rId="556" sId="1">
    <nc r="L18">
      <f>MROUND(N12,2)</f>
    </nc>
  </rcc>
  <rcv guid="{17B4BC62-A64E-4181-AF33-17F939339C15}" action="delete"/>
  <rdn rId="0" localSheetId="1" customView="1" name="Z_17B4BC62_A64E_4181_AF33_17F939339C15_.wvu.FilterData" hidden="1" oldHidden="1">
    <formula>employees!$A$1:$K$51</formula>
    <oldFormula>employees!$A$1:$K$51</oldFormula>
  </rdn>
  <rdn rId="0" localSheetId="3" customView="1" name="Z_17B4BC62_A64E_4181_AF33_17F939339C15_.wvu.FilterData" hidden="1" oldHidden="1">
    <formula>Module2!$H$1:$H$51</formula>
    <oldFormula>Module2!$H$1:$H$51</oldFormula>
  </rdn>
  <rdn rId="0" localSheetId="7" customView="1" name="Z_17B4BC62_A64E_4181_AF33_17F939339C15_.wvu.Rows" hidden="1" oldHidden="1">
    <formula>'Scenario Summary'!$4:$4</formula>
    <oldFormula>'Scenario Summary'!$4:$4</oldFormula>
  </rdn>
  <rdn rId="0" localSheetId="8" customView="1" name="Z_17B4BC62_A64E_4181_AF33_17F939339C15_.wvu.FilterData" hidden="1" oldHidden="1">
    <formula>Module4!$N$97:$Q$102</formula>
    <oldFormula>Module4!$N$97:$Q$102</oldFormula>
  </rdn>
  <rcv guid="{17B4BC62-A64E-4181-AF33-17F939339C15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1" sId="1">
    <nc r="L19">
      <f>_xlfn.CONCAT(B2,C2)</f>
    </nc>
  </rcc>
  <rcc rId="562" sId="1">
    <nc r="L20">
      <f>CONCATENATE(B2,C2)</f>
    </nc>
  </rcc>
  <rcc rId="563" sId="1">
    <nc r="L21">
      <f>TRIM(L19)</f>
    </nc>
  </rcc>
  <rcc rId="564" sId="1">
    <nc r="L22">
      <f>LEN(O21)</f>
    </nc>
  </rcc>
  <rcc rId="565" sId="1">
    <nc r="L23">
      <f>SQRT(L22)</f>
    </nc>
  </rcc>
  <rcc rId="566" sId="1">
    <nc r="L25">
      <f>IF(N25&gt;50,"Right","False")</f>
    </nc>
  </rcc>
  <rdn rId="567" name="_xlfn.IFS" function="1" oldFunction="1" hidden="1" oldHidden="1">
    <formula>#NAME?</formula>
  </rdn>
  <rcc rId="568" sId="1">
    <oc r="N25">
      <v>6745</v>
    </oc>
    <nc r="N25">
      <v>20</v>
    </nc>
  </rcc>
  <rcc rId="569" sId="1">
    <nc r="L26">
      <f>_xlfn.IFS(N25&lt;=20,"1K",N25&lt;100,"2K")</f>
    </nc>
  </rcc>
  <rcc rId="570" sId="1">
    <nc r="L29">
      <f>AND(G28="PU_CLERK",H28=2800)</f>
    </nc>
  </rcc>
  <rcc rId="571" sId="1">
    <nc r="L30">
      <f>OR(G26="PU_CLERK",H25=11000)</f>
    </nc>
  </rcc>
  <rcc rId="572" sId="1" odxf="1" dxf="1">
    <nc r="L34">
      <f>TODAY()</f>
    </nc>
    <odxf>
      <numFmt numFmtId="0" formatCode="General"/>
    </odxf>
    <ndxf>
      <numFmt numFmtId="19" formatCode="dd/mm/yyyy"/>
    </ndxf>
  </rcc>
  <rfmt sheetId="1" sqref="L35" start="0" length="0">
    <dxf>
      <numFmt numFmtId="19" formatCode="dd/mm/yyyy"/>
    </dxf>
  </rfmt>
  <rcc rId="573" sId="1">
    <nc r="L43">
      <f>AVERAGE(H:H)</f>
    </nc>
  </rcc>
  <rcc rId="574" sId="1">
    <nc r="L44">
      <f>MEDIAN(H:H)</f>
    </nc>
  </rcc>
  <rcc rId="575" sId="1">
    <nc r="L45">
      <f>MODE(H:H)</f>
    </nc>
  </rcc>
  <rcc rId="576" sId="1">
    <nc r="L46">
      <f>_xlfn.MODE.MULT(H:H)</f>
    </nc>
  </rcc>
  <rcc rId="577" sId="1">
    <nc r="L47">
      <f>_xlfn.MODE.SNGL(H:H)</f>
    </nc>
  </rcc>
  <rcc rId="578" sId="1">
    <nc r="L48">
      <f>LARGE(H:H,1)</f>
    </nc>
  </rcc>
  <rcc rId="579" sId="1">
    <nc r="L49">
      <f>SMALL(H:H,1)</f>
    </nc>
  </rcc>
  <rcv guid="{17B4BC62-A64E-4181-AF33-17F939339C15}" action="delete"/>
  <rdn rId="0" localSheetId="1" customView="1" name="Z_17B4BC62_A64E_4181_AF33_17F939339C15_.wvu.FilterData" hidden="1" oldHidden="1">
    <formula>employees!$A$1:$K$51</formula>
    <oldFormula>employees!$A$1:$K$51</oldFormula>
  </rdn>
  <rdn rId="0" localSheetId="3" customView="1" name="Z_17B4BC62_A64E_4181_AF33_17F939339C15_.wvu.FilterData" hidden="1" oldHidden="1">
    <formula>Module2!$H$1:$H$51</formula>
    <oldFormula>Module2!$H$1:$H$51</oldFormula>
  </rdn>
  <rdn rId="0" localSheetId="7" customView="1" name="Z_17B4BC62_A64E_4181_AF33_17F939339C15_.wvu.Rows" hidden="1" oldHidden="1">
    <formula>'Scenario Summary'!$4:$4</formula>
    <oldFormula>'Scenario Summary'!$4:$4</oldFormula>
  </rdn>
  <rdn rId="0" localSheetId="8" customView="1" name="Z_17B4BC62_A64E_4181_AF33_17F939339C15_.wvu.FilterData" hidden="1" oldHidden="1">
    <formula>Module4!$N$97:$Q$102</formula>
    <oldFormula>Module4!$N$97:$Q$102</oldFormula>
  </rdn>
  <rcv guid="{17B4BC62-A64E-4181-AF33-17F939339C15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4" sId="2">
    <nc r="D2">
      <f>CORREL(A2:A7,B2:B7)</f>
    </nc>
  </rcc>
  <rcc rId="585" sId="2">
    <nc r="D12">
      <f>CORREL(B13:B22,C13:C22)</f>
    </nc>
  </rcc>
  <rcc rId="586" sId="4">
    <nc r="I2">
      <f>INDEX(A1:D6,1,1)</f>
    </nc>
  </rcc>
  <rcc rId="587" sId="4">
    <nc r="I5">
      <f>OFFSET(A1,2,1,)</f>
    </nc>
  </rcc>
  <rcc rId="588" sId="4">
    <nc r="I3">
      <f>INDEX(A1:D7,1,2)</f>
    </nc>
  </rcc>
  <rcc rId="589" sId="4">
    <nc r="I6">
      <f>OFFSET(A3,1,2)</f>
    </nc>
  </rcc>
  <rcc rId="590" sId="4">
    <nc r="I8">
      <f>MATCH(H8,A1:D7,0)</f>
    </nc>
  </rcc>
  <rcc rId="591" sId="4">
    <nc r="I9">
      <f>MATCH(A2,A2:D2,0)</f>
    </nc>
  </rcc>
  <rcc rId="592" sId="4">
    <nc r="H11">
      <f>MATCH(D2,D2:D7,0)</f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3" sId="6">
    <nc r="E7">
      <f>SUM(OFFSET(A2,2,1,))</f>
    </nc>
  </rcc>
  <rfmt sheetId="6" sqref="B4">
    <dxf>
      <fill>
        <patternFill patternType="solid">
          <bgColor rgb="FFFFFF00"/>
        </patternFill>
      </fill>
    </dxf>
  </rfmt>
  <rcc rId="594" sId="6">
    <nc r="E9">
      <f>SUM(OFFSET(A2,1,1))</f>
    </nc>
  </rcc>
  <rfmt sheetId="6" sqref="B3">
    <dxf>
      <fill>
        <patternFill patternType="solid">
          <bgColor rgb="FFFFFF00"/>
        </patternFill>
      </fill>
    </dxf>
  </rfmt>
  <rcc rId="595" sId="6">
    <nc r="E10">
      <f>SUM(OFFSET(A2,2,2))</f>
    </nc>
  </rcc>
  <rcc rId="596" sId="6">
    <nc r="E11">
      <f>SUM(OFFSET(A2,1,1,2,2))</f>
    </nc>
  </rcc>
  <rcc rId="597" sId="6">
    <nc r="G14">
      <f>B3*C4</f>
    </nc>
  </rcc>
  <rcc rId="598" sId="6">
    <nc r="L5">
      <f>help</f>
    </nc>
  </rcc>
  <rcc rId="599" sId="6">
    <nc r="F4">
      <f>OFFSET(A2,2,2)</f>
    </nc>
  </rcc>
  <rcc rId="600" sId="6">
    <nc r="G5">
      <f>OFFSET(B1,2,3)</f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1"/>
  <sheetViews>
    <sheetView tabSelected="1" topLeftCell="A37" zoomScaleNormal="100" workbookViewId="0">
      <selection activeCell="I19" sqref="I19"/>
    </sheetView>
  </sheetViews>
  <sheetFormatPr defaultRowHeight="15" x14ac:dyDescent="0.25"/>
  <cols>
    <col min="1" max="1" width="13.140625" style="2" bestFit="1" customWidth="1"/>
    <col min="2" max="2" width="12.140625" bestFit="1" customWidth="1"/>
    <col min="3" max="3" width="11.5703125" bestFit="1" customWidth="1"/>
    <col min="4" max="4" width="11.42578125" bestFit="1" customWidth="1"/>
    <col min="5" max="5" width="16.140625" bestFit="1" customWidth="1"/>
    <col min="6" max="6" width="10.5703125" bestFit="1" customWidth="1"/>
    <col min="7" max="7" width="13.28515625" bestFit="1" customWidth="1"/>
    <col min="8" max="8" width="7.5703125" bestFit="1" customWidth="1"/>
    <col min="9" max="9" width="6.28515625" customWidth="1"/>
    <col min="10" max="10" width="4.42578125" customWidth="1"/>
    <col min="11" max="11" width="6.7109375" customWidth="1"/>
    <col min="12" max="12" width="17.5703125" bestFit="1" customWidth="1"/>
    <col min="14" max="14" width="11" bestFit="1" customWidth="1"/>
    <col min="15" max="15" width="13.7109375" customWidth="1"/>
    <col min="16" max="17" width="10.42578125" bestFit="1" customWidth="1"/>
  </cols>
  <sheetData>
    <row r="1" spans="1:1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286</v>
      </c>
      <c r="N1" s="4" t="s">
        <v>226</v>
      </c>
      <c r="O1" s="4"/>
      <c r="P1" s="4" t="s">
        <v>222</v>
      </c>
      <c r="Q1" s="4" t="s">
        <v>223</v>
      </c>
      <c r="R1" s="4" t="s">
        <v>224</v>
      </c>
      <c r="S1" s="4" t="s">
        <v>225</v>
      </c>
    </row>
    <row r="2" spans="1:19" x14ac:dyDescent="0.25">
      <c r="A2" s="2">
        <v>198</v>
      </c>
      <c r="B2" t="s">
        <v>280</v>
      </c>
      <c r="C2" t="s">
        <v>11</v>
      </c>
      <c r="D2" t="s">
        <v>12</v>
      </c>
      <c r="E2" t="s">
        <v>13</v>
      </c>
      <c r="F2" s="1">
        <v>39254</v>
      </c>
      <c r="G2" t="s">
        <v>14</v>
      </c>
      <c r="H2">
        <v>2600</v>
      </c>
      <c r="I2">
        <f>IF(D2="DGRANT",2000,0)</f>
        <v>0</v>
      </c>
      <c r="J2">
        <v>124</v>
      </c>
      <c r="K2">
        <v>50</v>
      </c>
      <c r="L2">
        <f>SUM(H:H)</f>
        <v>309116</v>
      </c>
      <c r="N2" s="4">
        <f>SUMIF(G:G,"SH_CLERK",H:H)</f>
        <v>5200</v>
      </c>
      <c r="O2" s="4">
        <f>SUMIF(H:H,"&gt;15000")</f>
        <v>58000</v>
      </c>
      <c r="P2" s="4">
        <f>SUM(H:H)</f>
        <v>309116</v>
      </c>
      <c r="Q2" s="4">
        <f>AVERAGE(H:H)</f>
        <v>6182.32</v>
      </c>
      <c r="R2" s="4">
        <f>MIN(H:H)</f>
        <v>2100</v>
      </c>
      <c r="S2" s="4">
        <f>MAX(H:H)</f>
        <v>24000</v>
      </c>
    </row>
    <row r="3" spans="1:19" x14ac:dyDescent="0.25">
      <c r="A3" s="2">
        <v>199</v>
      </c>
      <c r="B3" t="s">
        <v>281</v>
      </c>
      <c r="C3" t="s">
        <v>16</v>
      </c>
      <c r="D3" t="s">
        <v>17</v>
      </c>
      <c r="E3" t="s">
        <v>18</v>
      </c>
      <c r="F3" s="1">
        <v>39460</v>
      </c>
      <c r="G3" t="s">
        <v>14</v>
      </c>
      <c r="H3">
        <v>2600</v>
      </c>
      <c r="I3">
        <f>IF(D3="DGRANT",2000,0)</f>
        <v>2000</v>
      </c>
      <c r="J3">
        <v>124</v>
      </c>
      <c r="K3">
        <v>50</v>
      </c>
      <c r="L3">
        <f>SUMIF(H:H,"&gt;15000")</f>
        <v>58000</v>
      </c>
      <c r="N3" s="3" t="s">
        <v>227</v>
      </c>
      <c r="O3" s="3">
        <f>SUMIFS(H:H,G:G,"AD_VP",H:H,"&gt;10000")</f>
        <v>34000</v>
      </c>
      <c r="P3">
        <f>SUMIFS(H:H,D:D,"DGRANT",G:G,"SH_CLERK",H:H,"&lt;10000")</f>
        <v>2600</v>
      </c>
      <c r="Q3" s="3">
        <f>SUMIFS(H:H,G:G,"SH_CLERK",D:D,"DGRANT",H:H,"&lt;1000")</f>
        <v>0</v>
      </c>
      <c r="R3" s="3">
        <f>MIN(J:J)</f>
        <v>100</v>
      </c>
      <c r="S3" s="3" t="s">
        <v>234</v>
      </c>
    </row>
    <row r="4" spans="1:19" x14ac:dyDescent="0.25">
      <c r="A4" s="2">
        <v>200</v>
      </c>
      <c r="B4" t="s">
        <v>19</v>
      </c>
      <c r="C4" t="s">
        <v>20</v>
      </c>
      <c r="D4" t="s">
        <v>21</v>
      </c>
      <c r="E4" t="s">
        <v>22</v>
      </c>
      <c r="F4" s="1">
        <v>37881</v>
      </c>
      <c r="G4" t="s">
        <v>23</v>
      </c>
      <c r="H4">
        <v>4400</v>
      </c>
      <c r="I4">
        <f t="shared" ref="I4:I51" si="0">IF(D4="DGRANT",2000,0)</f>
        <v>0</v>
      </c>
      <c r="J4">
        <v>101</v>
      </c>
      <c r="K4">
        <v>10</v>
      </c>
      <c r="L4">
        <f>SUMIF(G:G,"AC_MGR",J:J)</f>
        <v>101</v>
      </c>
      <c r="N4" s="3" t="s">
        <v>228</v>
      </c>
      <c r="O4" s="3">
        <f>COUNT(H:H)</f>
        <v>50</v>
      </c>
      <c r="P4" s="3" t="s">
        <v>230</v>
      </c>
      <c r="Q4" s="3"/>
      <c r="R4" s="3"/>
      <c r="S4" s="3"/>
    </row>
    <row r="5" spans="1:19" x14ac:dyDescent="0.25">
      <c r="A5" s="2">
        <v>201</v>
      </c>
      <c r="B5" t="s">
        <v>24</v>
      </c>
      <c r="C5" t="s">
        <v>25</v>
      </c>
      <c r="D5" t="s">
        <v>26</v>
      </c>
      <c r="E5" t="s">
        <v>27</v>
      </c>
      <c r="F5" s="1">
        <v>38034</v>
      </c>
      <c r="G5" t="s">
        <v>28</v>
      </c>
      <c r="H5">
        <v>13000</v>
      </c>
      <c r="I5">
        <f t="shared" si="0"/>
        <v>0</v>
      </c>
      <c r="J5">
        <v>100</v>
      </c>
      <c r="K5">
        <v>20</v>
      </c>
      <c r="L5">
        <f>SUMIFS(H:H,C:C,"Grant",G:G,"SH_CLERK")</f>
        <v>2600</v>
      </c>
      <c r="N5" s="62" t="s">
        <v>229</v>
      </c>
      <c r="O5" s="3">
        <f>COUNTA(G:G)-1</f>
        <v>50</v>
      </c>
      <c r="P5" s="62" t="s">
        <v>231</v>
      </c>
      <c r="Q5" s="62"/>
      <c r="R5" s="62"/>
      <c r="S5" s="62"/>
    </row>
    <row r="6" spans="1:19" x14ac:dyDescent="0.25">
      <c r="A6" s="2">
        <v>202</v>
      </c>
      <c r="C6" t="s">
        <v>30</v>
      </c>
      <c r="D6" t="s">
        <v>31</v>
      </c>
      <c r="E6" t="s">
        <v>32</v>
      </c>
      <c r="F6" s="1">
        <v>38581</v>
      </c>
      <c r="G6" t="s">
        <v>33</v>
      </c>
      <c r="H6">
        <v>6000</v>
      </c>
      <c r="I6">
        <f t="shared" si="0"/>
        <v>0</v>
      </c>
      <c r="J6">
        <v>201</v>
      </c>
      <c r="K6">
        <v>20</v>
      </c>
      <c r="L6">
        <f>SUMIF(D:D,"DGRANT",H:H)</f>
        <v>2600</v>
      </c>
      <c r="N6" s="3" t="s">
        <v>232</v>
      </c>
      <c r="O6" s="3">
        <f>SUMIF(G:G,"MK_MAN",H:H)</f>
        <v>13000</v>
      </c>
      <c r="P6" s="3">
        <f>SUMIF(H:H,"&lt;15000")</f>
        <v>251116</v>
      </c>
      <c r="Q6" s="3" t="s">
        <v>233</v>
      </c>
      <c r="R6" s="3"/>
      <c r="S6" s="3">
        <f>COUNT(J:J)</f>
        <v>49</v>
      </c>
    </row>
    <row r="7" spans="1:19" x14ac:dyDescent="0.25">
      <c r="A7" s="2">
        <v>203</v>
      </c>
      <c r="B7" t="s">
        <v>34</v>
      </c>
      <c r="C7" t="s">
        <v>35</v>
      </c>
      <c r="D7" t="s">
        <v>36</v>
      </c>
      <c r="E7" t="s">
        <v>37</v>
      </c>
      <c r="F7" s="1">
        <v>37414</v>
      </c>
      <c r="G7" t="s">
        <v>38</v>
      </c>
      <c r="H7">
        <v>6500</v>
      </c>
      <c r="I7">
        <f t="shared" si="0"/>
        <v>0</v>
      </c>
      <c r="J7">
        <v>101</v>
      </c>
      <c r="K7">
        <v>40</v>
      </c>
      <c r="L7">
        <f>COUNT(H:H)</f>
        <v>50</v>
      </c>
      <c r="N7" s="3">
        <f>COUNTA(D:D)-1</f>
        <v>50</v>
      </c>
      <c r="O7" s="3">
        <f>SUMIF(G:G,"SH_CLERK",H:H)</f>
        <v>5200</v>
      </c>
      <c r="P7" s="3"/>
      <c r="Q7" s="3"/>
      <c r="R7" s="3"/>
      <c r="S7" s="3">
        <f>COUNTA(J:J)</f>
        <v>50</v>
      </c>
    </row>
    <row r="8" spans="1:19" x14ac:dyDescent="0.25">
      <c r="A8" s="2">
        <v>204</v>
      </c>
      <c r="B8" t="s">
        <v>39</v>
      </c>
      <c r="C8" t="s">
        <v>40</v>
      </c>
      <c r="D8" t="s">
        <v>41</v>
      </c>
      <c r="E8" t="s">
        <v>42</v>
      </c>
      <c r="F8" s="1">
        <v>37414</v>
      </c>
      <c r="G8" t="s">
        <v>43</v>
      </c>
      <c r="H8">
        <v>10000</v>
      </c>
      <c r="I8">
        <f t="shared" si="0"/>
        <v>0</v>
      </c>
      <c r="J8">
        <v>101</v>
      </c>
      <c r="K8">
        <v>70</v>
      </c>
      <c r="L8">
        <f>COUNTA(D:D)-1</f>
        <v>50</v>
      </c>
      <c r="N8" s="3" t="s">
        <v>235</v>
      </c>
      <c r="O8" s="3">
        <f>COUNTIF(D:D,"DGRANT")</f>
        <v>1</v>
      </c>
      <c r="P8" s="3">
        <f>COUNTIF(D:D,"dgrant")</f>
        <v>1</v>
      </c>
      <c r="Q8" s="3">
        <f>COUNTIF(C:C,"Grant")</f>
        <v>1</v>
      </c>
      <c r="R8" s="3">
        <f>COUNTIF(G:G,"SH_CLERK")</f>
        <v>2</v>
      </c>
      <c r="S8" s="3"/>
    </row>
    <row r="9" spans="1:19" x14ac:dyDescent="0.25">
      <c r="A9" s="2">
        <v>205</v>
      </c>
      <c r="B9" t="s">
        <v>44</v>
      </c>
      <c r="C9" t="s">
        <v>45</v>
      </c>
      <c r="D9" t="s">
        <v>46</v>
      </c>
      <c r="E9" t="s">
        <v>47</v>
      </c>
      <c r="F9" s="1">
        <v>37414</v>
      </c>
      <c r="G9" t="s">
        <v>48</v>
      </c>
      <c r="H9">
        <v>12008</v>
      </c>
      <c r="I9">
        <f t="shared" si="0"/>
        <v>0</v>
      </c>
      <c r="J9">
        <v>101</v>
      </c>
      <c r="K9">
        <v>110</v>
      </c>
      <c r="L9" s="21">
        <f>COUNTIF(G:G,"SH_CLERK")</f>
        <v>2</v>
      </c>
      <c r="N9" s="3" t="s">
        <v>236</v>
      </c>
      <c r="O9" s="3">
        <f>COUNTIFS(D:D,"DGRANT",H:H,"&lt;15000")</f>
        <v>1</v>
      </c>
      <c r="P9" s="3">
        <f>COUNTIFS(D:D,"DOCONNEL",H:H,"&gt;1000")</f>
        <v>1</v>
      </c>
      <c r="Q9" s="3">
        <f>COUNTIFS(D:D,"DGRANT",G:G,"SH_CLERK")</f>
        <v>1</v>
      </c>
      <c r="R9" s="3"/>
      <c r="S9" s="3"/>
    </row>
    <row r="10" spans="1:19" x14ac:dyDescent="0.25">
      <c r="A10" s="2">
        <v>206</v>
      </c>
      <c r="B10" t="s">
        <v>49</v>
      </c>
      <c r="C10" t="s">
        <v>50</v>
      </c>
      <c r="D10" t="s">
        <v>51</v>
      </c>
      <c r="E10" t="s">
        <v>52</v>
      </c>
      <c r="F10" s="1">
        <v>37414</v>
      </c>
      <c r="G10" t="s">
        <v>53</v>
      </c>
      <c r="H10">
        <v>8300</v>
      </c>
      <c r="I10">
        <f t="shared" si="0"/>
        <v>0</v>
      </c>
      <c r="J10">
        <v>205</v>
      </c>
      <c r="K10">
        <v>110</v>
      </c>
      <c r="L10">
        <f>COUNTIFS(G:G,"MK_MAN",H:H,"&lt;=24000")</f>
        <v>1</v>
      </c>
      <c r="N10" s="62" t="s">
        <v>237</v>
      </c>
      <c r="O10" s="3">
        <f>AVERAGEA(A:A)</f>
        <v>132.11764705882354</v>
      </c>
      <c r="P10" s="3">
        <f>AVERAGE(A:A)</f>
        <v>134.76</v>
      </c>
      <c r="Q10" s="3">
        <f>AVERAGE(H:H,J:J,K:K)</f>
        <v>2131.6979865771814</v>
      </c>
      <c r="R10" s="3"/>
      <c r="S10" s="3"/>
    </row>
    <row r="11" spans="1:19" x14ac:dyDescent="0.25">
      <c r="A11" s="2">
        <v>100</v>
      </c>
      <c r="B11" t="s">
        <v>54</v>
      </c>
      <c r="C11" t="s">
        <v>55</v>
      </c>
      <c r="D11" t="s">
        <v>56</v>
      </c>
      <c r="E11" t="s">
        <v>57</v>
      </c>
      <c r="F11" s="1">
        <v>37789</v>
      </c>
      <c r="G11" t="s">
        <v>58</v>
      </c>
      <c r="H11">
        <v>24000</v>
      </c>
      <c r="I11">
        <f t="shared" si="0"/>
        <v>0</v>
      </c>
      <c r="K11">
        <v>90</v>
      </c>
      <c r="L11">
        <f>AVERAGE(H:H)</f>
        <v>6182.32</v>
      </c>
      <c r="N11" s="5" t="s">
        <v>238</v>
      </c>
      <c r="O11">
        <f>AVERAGEIF(D:D,"dgrant",H:H)</f>
        <v>2600</v>
      </c>
      <c r="P11">
        <f>AVERAGEIF(G:G,"SH_CLERK",H:H)</f>
        <v>2600</v>
      </c>
    </row>
    <row r="12" spans="1:19" x14ac:dyDescent="0.25">
      <c r="A12" s="2">
        <v>101</v>
      </c>
      <c r="B12" t="s">
        <v>59</v>
      </c>
      <c r="C12" t="s">
        <v>60</v>
      </c>
      <c r="D12" t="s">
        <v>61</v>
      </c>
      <c r="E12" t="s">
        <v>62</v>
      </c>
      <c r="F12" s="1">
        <v>38616</v>
      </c>
      <c r="G12" t="s">
        <v>63</v>
      </c>
      <c r="H12">
        <v>17000</v>
      </c>
      <c r="I12">
        <f t="shared" si="0"/>
        <v>0</v>
      </c>
      <c r="J12">
        <v>100</v>
      </c>
      <c r="K12">
        <v>90</v>
      </c>
      <c r="L12">
        <f>AVERAGEA(H:H)</f>
        <v>6061.0980392156862</v>
      </c>
      <c r="N12">
        <v>114.7261</v>
      </c>
      <c r="O12" s="6" t="s">
        <v>239</v>
      </c>
      <c r="P12">
        <f>ROUND(N12,2)</f>
        <v>114.73</v>
      </c>
      <c r="Q12">
        <f>ROUND(N12,1)</f>
        <v>114.7</v>
      </c>
    </row>
    <row r="13" spans="1:19" x14ac:dyDescent="0.25">
      <c r="A13" s="2">
        <v>102</v>
      </c>
      <c r="B13" t="s">
        <v>64</v>
      </c>
      <c r="C13" t="s">
        <v>65</v>
      </c>
      <c r="D13" t="s">
        <v>66</v>
      </c>
      <c r="E13" t="s">
        <v>67</v>
      </c>
      <c r="F13" s="1">
        <v>36904</v>
      </c>
      <c r="G13" t="s">
        <v>63</v>
      </c>
      <c r="H13">
        <v>17000</v>
      </c>
      <c r="I13">
        <f t="shared" si="0"/>
        <v>0</v>
      </c>
      <c r="J13">
        <v>100</v>
      </c>
      <c r="K13">
        <v>90</v>
      </c>
      <c r="L13">
        <f>AVERAGEIF(G:G,"MK_REP",H:H)</f>
        <v>6000</v>
      </c>
      <c r="M13">
        <v>1</v>
      </c>
      <c r="O13" s="6" t="s">
        <v>240</v>
      </c>
      <c r="P13">
        <f>ROUNDUP(N12,1)</f>
        <v>114.8</v>
      </c>
      <c r="S13">
        <f>MAX(K:K)</f>
        <v>110</v>
      </c>
    </row>
    <row r="14" spans="1:19" x14ac:dyDescent="0.25">
      <c r="A14" s="2">
        <v>103</v>
      </c>
      <c r="B14" t="s">
        <v>68</v>
      </c>
      <c r="C14" t="s">
        <v>69</v>
      </c>
      <c r="D14" t="s">
        <v>70</v>
      </c>
      <c r="E14" t="s">
        <v>71</v>
      </c>
      <c r="F14" s="1">
        <v>38720</v>
      </c>
      <c r="G14" t="s">
        <v>72</v>
      </c>
      <c r="H14">
        <v>9000</v>
      </c>
      <c r="I14">
        <f t="shared" si="0"/>
        <v>0</v>
      </c>
      <c r="J14">
        <v>102</v>
      </c>
      <c r="K14">
        <v>60</v>
      </c>
      <c r="L14">
        <f>AVERAGEIFS(H:H,D:D,"DGRANT",G:G,"SH_CLERK")</f>
        <v>2600</v>
      </c>
      <c r="M14">
        <v>2</v>
      </c>
      <c r="O14" s="6" t="s">
        <v>241</v>
      </c>
      <c r="P14">
        <f>ROUNDDOWN(N12,0)</f>
        <v>114</v>
      </c>
      <c r="Q14">
        <f>ROUNDDOWN(N12,2)</f>
        <v>114.72</v>
      </c>
    </row>
    <row r="15" spans="1:19" x14ac:dyDescent="0.25">
      <c r="A15" s="2">
        <v>104</v>
      </c>
      <c r="B15" t="s">
        <v>73</v>
      </c>
      <c r="C15" t="s">
        <v>74</v>
      </c>
      <c r="D15" t="s">
        <v>75</v>
      </c>
      <c r="E15" t="s">
        <v>76</v>
      </c>
      <c r="F15" s="1">
        <v>39223</v>
      </c>
      <c r="G15" t="s">
        <v>72</v>
      </c>
      <c r="H15">
        <v>6000</v>
      </c>
      <c r="I15">
        <f t="shared" si="0"/>
        <v>0</v>
      </c>
      <c r="J15">
        <v>103</v>
      </c>
      <c r="K15">
        <v>60</v>
      </c>
      <c r="L15">
        <f>ROUND(N12,3)</f>
        <v>114.726</v>
      </c>
      <c r="M15">
        <v>3</v>
      </c>
      <c r="N15" s="6" t="s">
        <v>242</v>
      </c>
      <c r="P15" t="s">
        <v>243</v>
      </c>
    </row>
    <row r="16" spans="1:19" x14ac:dyDescent="0.25">
      <c r="A16" s="2">
        <v>105</v>
      </c>
      <c r="B16" t="s">
        <v>77</v>
      </c>
      <c r="C16" t="s">
        <v>78</v>
      </c>
      <c r="D16" t="s">
        <v>79</v>
      </c>
      <c r="E16" t="s">
        <v>80</v>
      </c>
      <c r="F16" s="1">
        <v>38528</v>
      </c>
      <c r="G16" t="s">
        <v>72</v>
      </c>
      <c r="H16">
        <v>4800</v>
      </c>
      <c r="I16">
        <f t="shared" si="0"/>
        <v>0</v>
      </c>
      <c r="J16">
        <v>103</v>
      </c>
      <c r="K16">
        <v>60</v>
      </c>
      <c r="L16">
        <f>ROUNDUP(N12,1)</f>
        <v>114.8</v>
      </c>
      <c r="O16" t="str">
        <f>CONCATENATE(B2,C2)</f>
        <v xml:space="preserve">  Donald  OConnell</v>
      </c>
      <c r="Q16" t="str">
        <f>CONCATENATE(B16," ",C16)</f>
        <v>David Austin</v>
      </c>
    </row>
    <row r="17" spans="1:19" x14ac:dyDescent="0.25">
      <c r="A17" s="2">
        <v>106</v>
      </c>
      <c r="B17" t="s">
        <v>81</v>
      </c>
      <c r="C17" t="s">
        <v>82</v>
      </c>
      <c r="D17" t="s">
        <v>83</v>
      </c>
      <c r="E17" t="s">
        <v>84</v>
      </c>
      <c r="F17" s="1">
        <v>38753</v>
      </c>
      <c r="G17" t="s">
        <v>72</v>
      </c>
      <c r="H17">
        <v>4800</v>
      </c>
      <c r="I17">
        <f t="shared" si="0"/>
        <v>0</v>
      </c>
      <c r="J17">
        <v>103</v>
      </c>
      <c r="K17">
        <v>60</v>
      </c>
      <c r="L17">
        <f>ROUNDDOWN(N12,2)</f>
        <v>114.72</v>
      </c>
      <c r="O17" t="str">
        <f>CONCATENATE(B2," ",C2)</f>
        <v xml:space="preserve">  Donald   OConnell</v>
      </c>
    </row>
    <row r="18" spans="1:19" x14ac:dyDescent="0.25">
      <c r="A18" s="2">
        <v>107</v>
      </c>
      <c r="B18" t="s">
        <v>85</v>
      </c>
      <c r="C18" t="s">
        <v>86</v>
      </c>
      <c r="D18" t="s">
        <v>87</v>
      </c>
      <c r="E18" t="s">
        <v>88</v>
      </c>
      <c r="F18" s="1">
        <v>39120</v>
      </c>
      <c r="G18" t="s">
        <v>72</v>
      </c>
      <c r="H18">
        <v>4200</v>
      </c>
      <c r="I18">
        <f t="shared" si="0"/>
        <v>0</v>
      </c>
      <c r="J18">
        <v>103</v>
      </c>
      <c r="K18">
        <v>60</v>
      </c>
      <c r="L18">
        <f>MROUND(N12,2)</f>
        <v>114</v>
      </c>
      <c r="O18" t="str">
        <f>CONCATENATE(B2," ",C2)</f>
        <v xml:space="preserve">  Donald   OConnell</v>
      </c>
    </row>
    <row r="19" spans="1:19" x14ac:dyDescent="0.25">
      <c r="A19" s="2">
        <v>108</v>
      </c>
      <c r="B19" t="s">
        <v>89</v>
      </c>
      <c r="C19" t="s">
        <v>90</v>
      </c>
      <c r="D19" t="s">
        <v>91</v>
      </c>
      <c r="E19" t="s">
        <v>92</v>
      </c>
      <c r="F19" s="1">
        <v>37485</v>
      </c>
      <c r="G19" t="s">
        <v>93</v>
      </c>
      <c r="H19">
        <v>12008</v>
      </c>
      <c r="I19">
        <f t="shared" si="0"/>
        <v>0</v>
      </c>
      <c r="J19">
        <v>101</v>
      </c>
      <c r="K19">
        <v>100</v>
      </c>
      <c r="L19" t="str">
        <f>_xlfn.CONCAT(B2,C2)</f>
        <v xml:space="preserve">  Donald  OConnell</v>
      </c>
      <c r="M19" t="str">
        <f>B2</f>
        <v xml:space="preserve">  Donald  </v>
      </c>
      <c r="N19" s="8" t="s">
        <v>279</v>
      </c>
      <c r="O19" t="str">
        <f>TRIM(B2)</f>
        <v>Donald</v>
      </c>
      <c r="P19" t="s">
        <v>480</v>
      </c>
      <c r="Q19" t="str">
        <f>TRIM(P19)</f>
        <v>D Ram</v>
      </c>
      <c r="R19" t="str">
        <f>TRIM(Q19)</f>
        <v>D Ram</v>
      </c>
    </row>
    <row r="20" spans="1:19" x14ac:dyDescent="0.25">
      <c r="A20" s="2">
        <v>109</v>
      </c>
      <c r="B20" t="s">
        <v>94</v>
      </c>
      <c r="C20" t="s">
        <v>95</v>
      </c>
      <c r="D20" t="s">
        <v>96</v>
      </c>
      <c r="E20" t="s">
        <v>97</v>
      </c>
      <c r="F20" s="1">
        <v>37484</v>
      </c>
      <c r="G20" t="s">
        <v>98</v>
      </c>
      <c r="H20">
        <v>9000</v>
      </c>
      <c r="I20">
        <f t="shared" si="0"/>
        <v>0</v>
      </c>
      <c r="J20">
        <v>108</v>
      </c>
      <c r="K20">
        <v>100</v>
      </c>
      <c r="L20" t="str">
        <f>CONCATENATE(B2,C2)</f>
        <v xml:space="preserve">  Donald  OConnell</v>
      </c>
      <c r="N20" s="8"/>
      <c r="O20" t="s">
        <v>481</v>
      </c>
      <c r="P20" t="str">
        <f>TRIM(O20)</f>
        <v>Pankaj</v>
      </c>
    </row>
    <row r="21" spans="1:19" x14ac:dyDescent="0.25">
      <c r="A21" s="2">
        <v>110</v>
      </c>
      <c r="B21" t="s">
        <v>99</v>
      </c>
      <c r="C21" t="s">
        <v>100</v>
      </c>
      <c r="D21" t="s">
        <v>101</v>
      </c>
      <c r="E21" t="s">
        <v>102</v>
      </c>
      <c r="F21" s="1">
        <v>38623</v>
      </c>
      <c r="G21" t="s">
        <v>98</v>
      </c>
      <c r="H21">
        <v>8200</v>
      </c>
      <c r="I21">
        <f t="shared" si="0"/>
        <v>0</v>
      </c>
      <c r="J21">
        <v>108</v>
      </c>
      <c r="K21">
        <v>100</v>
      </c>
      <c r="L21" t="str">
        <f>TRIM(L19)</f>
        <v>Donald OConnell</v>
      </c>
      <c r="N21" s="8" t="s">
        <v>282</v>
      </c>
      <c r="O21">
        <f>LEN(O20)</f>
        <v>12</v>
      </c>
      <c r="P21">
        <f>LEN(P19)</f>
        <v>6</v>
      </c>
      <c r="Q21">
        <f>LEN(Q19)</f>
        <v>5</v>
      </c>
    </row>
    <row r="22" spans="1:19" x14ac:dyDescent="0.25">
      <c r="A22" s="2">
        <v>111</v>
      </c>
      <c r="B22" t="s">
        <v>103</v>
      </c>
      <c r="C22" t="s">
        <v>104</v>
      </c>
      <c r="D22" t="s">
        <v>105</v>
      </c>
      <c r="E22" t="s">
        <v>106</v>
      </c>
      <c r="F22" s="1">
        <v>38625</v>
      </c>
      <c r="G22" t="s">
        <v>98</v>
      </c>
      <c r="H22">
        <v>7700</v>
      </c>
      <c r="I22">
        <f t="shared" si="0"/>
        <v>0</v>
      </c>
      <c r="J22">
        <v>108</v>
      </c>
      <c r="K22">
        <v>100</v>
      </c>
      <c r="L22">
        <f>LEN(O21)</f>
        <v>2</v>
      </c>
      <c r="N22" t="s">
        <v>283</v>
      </c>
      <c r="O22" t="s">
        <v>284</v>
      </c>
    </row>
    <row r="23" spans="1:19" x14ac:dyDescent="0.25">
      <c r="A23" s="2">
        <v>112</v>
      </c>
      <c r="B23" t="s">
        <v>107</v>
      </c>
      <c r="C23" t="s">
        <v>108</v>
      </c>
      <c r="D23" t="s">
        <v>109</v>
      </c>
      <c r="E23" t="s">
        <v>110</v>
      </c>
      <c r="F23" s="1">
        <v>38783</v>
      </c>
      <c r="G23" t="s">
        <v>98</v>
      </c>
      <c r="H23">
        <v>7800</v>
      </c>
      <c r="I23">
        <f t="shared" si="0"/>
        <v>0</v>
      </c>
      <c r="J23">
        <v>108</v>
      </c>
      <c r="K23">
        <v>100</v>
      </c>
      <c r="L23">
        <f>SQRT(L22)</f>
        <v>1.4142135623730951</v>
      </c>
      <c r="N23">
        <v>222</v>
      </c>
      <c r="O23">
        <f>SQRT(N23)</f>
        <v>14.89966442575134</v>
      </c>
    </row>
    <row r="24" spans="1:19" x14ac:dyDescent="0.25">
      <c r="A24" s="2">
        <v>113</v>
      </c>
      <c r="B24" t="s">
        <v>111</v>
      </c>
      <c r="C24" t="s">
        <v>112</v>
      </c>
      <c r="D24" t="s">
        <v>113</v>
      </c>
      <c r="E24" t="s">
        <v>114</v>
      </c>
      <c r="F24" s="1">
        <v>39423</v>
      </c>
      <c r="G24" t="s">
        <v>98</v>
      </c>
      <c r="H24">
        <v>6900</v>
      </c>
      <c r="I24">
        <f t="shared" si="0"/>
        <v>0</v>
      </c>
      <c r="J24">
        <v>108</v>
      </c>
      <c r="K24">
        <v>100</v>
      </c>
      <c r="N24">
        <v>144</v>
      </c>
      <c r="O24">
        <f t="shared" ref="O24:O25" si="1">SQRT(N24)</f>
        <v>12</v>
      </c>
    </row>
    <row r="25" spans="1:19" x14ac:dyDescent="0.25">
      <c r="A25" s="2">
        <v>114</v>
      </c>
      <c r="B25" t="s">
        <v>115</v>
      </c>
      <c r="C25" t="s">
        <v>116</v>
      </c>
      <c r="D25" t="s">
        <v>117</v>
      </c>
      <c r="E25" t="s">
        <v>118</v>
      </c>
      <c r="F25" s="1">
        <v>37597</v>
      </c>
      <c r="G25" t="s">
        <v>119</v>
      </c>
      <c r="H25">
        <v>11000</v>
      </c>
      <c r="I25">
        <f t="shared" si="0"/>
        <v>0</v>
      </c>
      <c r="J25">
        <v>100</v>
      </c>
      <c r="K25">
        <v>30</v>
      </c>
      <c r="L25" t="str">
        <f>IF(N25&gt;50,"Right","False")</f>
        <v>False</v>
      </c>
      <c r="N25">
        <v>20</v>
      </c>
      <c r="O25">
        <f t="shared" si="1"/>
        <v>4.4721359549995796</v>
      </c>
    </row>
    <row r="26" spans="1:19" x14ac:dyDescent="0.25">
      <c r="A26" s="2">
        <v>115</v>
      </c>
      <c r="B26" t="s">
        <v>68</v>
      </c>
      <c r="C26" t="s">
        <v>120</v>
      </c>
      <c r="D26" t="s">
        <v>121</v>
      </c>
      <c r="E26" t="s">
        <v>122</v>
      </c>
      <c r="F26" s="1">
        <v>37759</v>
      </c>
      <c r="G26" t="s">
        <v>123</v>
      </c>
      <c r="H26">
        <v>3100</v>
      </c>
      <c r="I26">
        <f t="shared" si="0"/>
        <v>0</v>
      </c>
      <c r="J26">
        <v>114</v>
      </c>
      <c r="K26">
        <v>30</v>
      </c>
      <c r="L26" t="str">
        <f>_xlfn.IFS(N25&lt;=20,"1K",N25&lt;100,"2K")</f>
        <v>1K</v>
      </c>
      <c r="N26" s="8" t="s">
        <v>285</v>
      </c>
      <c r="O26">
        <f>IF(D2="Sales",20000,0)</f>
        <v>0</v>
      </c>
      <c r="P26" s="8" t="s">
        <v>286</v>
      </c>
      <c r="Q26" t="s">
        <v>287</v>
      </c>
    </row>
    <row r="27" spans="1:19" x14ac:dyDescent="0.25">
      <c r="A27" s="2">
        <v>116</v>
      </c>
      <c r="B27" t="s">
        <v>124</v>
      </c>
      <c r="C27" t="s">
        <v>125</v>
      </c>
      <c r="D27" t="s">
        <v>126</v>
      </c>
      <c r="E27" t="s">
        <v>127</v>
      </c>
      <c r="F27" s="1">
        <v>38710</v>
      </c>
      <c r="G27" t="s">
        <v>123</v>
      </c>
      <c r="H27">
        <v>2900</v>
      </c>
      <c r="I27">
        <f t="shared" si="0"/>
        <v>0</v>
      </c>
      <c r="J27">
        <v>114</v>
      </c>
      <c r="K27">
        <v>30</v>
      </c>
      <c r="O27">
        <f>IF(D3="Sales",20000,0)</f>
        <v>0</v>
      </c>
      <c r="P27" t="str">
        <f>IF(H20&gt;800,"Pass","Fail")</f>
        <v>Pass</v>
      </c>
    </row>
    <row r="28" spans="1:19" x14ac:dyDescent="0.25">
      <c r="A28" s="2">
        <v>117</v>
      </c>
      <c r="B28" t="s">
        <v>128</v>
      </c>
      <c r="C28" t="s">
        <v>129</v>
      </c>
      <c r="D28" t="s">
        <v>130</v>
      </c>
      <c r="E28" t="s">
        <v>131</v>
      </c>
      <c r="F28" s="1">
        <v>38557</v>
      </c>
      <c r="G28" t="s">
        <v>123</v>
      </c>
      <c r="H28">
        <v>2800</v>
      </c>
      <c r="I28">
        <f t="shared" si="0"/>
        <v>0</v>
      </c>
      <c r="J28">
        <v>114</v>
      </c>
      <c r="K28">
        <v>30</v>
      </c>
      <c r="O28">
        <f>IF(D4="Sales",20000,0)</f>
        <v>0</v>
      </c>
      <c r="P28" t="str">
        <f>IF(H21&gt;=8200,"Pass","Fail")</f>
        <v>Pass</v>
      </c>
    </row>
    <row r="29" spans="1:19" x14ac:dyDescent="0.25">
      <c r="A29" s="2">
        <v>118</v>
      </c>
      <c r="B29" t="s">
        <v>132</v>
      </c>
      <c r="C29" t="s">
        <v>133</v>
      </c>
      <c r="D29" t="s">
        <v>134</v>
      </c>
      <c r="E29" t="s">
        <v>135</v>
      </c>
      <c r="F29" s="1">
        <v>39036</v>
      </c>
      <c r="G29" t="s">
        <v>123</v>
      </c>
      <c r="H29">
        <v>2600</v>
      </c>
      <c r="I29">
        <f t="shared" si="0"/>
        <v>0</v>
      </c>
      <c r="J29">
        <v>114</v>
      </c>
      <c r="K29">
        <v>30</v>
      </c>
      <c r="L29" t="b">
        <f>AND(G28="PU_CLERK",H28=2800)</f>
        <v>1</v>
      </c>
      <c r="O29">
        <f>IF(D5="Sales",20000,0)</f>
        <v>0</v>
      </c>
    </row>
    <row r="30" spans="1:19" x14ac:dyDescent="0.25">
      <c r="A30" s="2">
        <v>119</v>
      </c>
      <c r="B30" t="s">
        <v>136</v>
      </c>
      <c r="C30" t="s">
        <v>137</v>
      </c>
      <c r="D30" t="s">
        <v>138</v>
      </c>
      <c r="E30" t="s">
        <v>139</v>
      </c>
      <c r="F30" s="1">
        <v>39304</v>
      </c>
      <c r="G30" t="s">
        <v>123</v>
      </c>
      <c r="H30">
        <v>2500</v>
      </c>
      <c r="I30">
        <f t="shared" si="0"/>
        <v>0</v>
      </c>
      <c r="J30">
        <v>114</v>
      </c>
      <c r="K30">
        <v>30</v>
      </c>
      <c r="L30" t="b">
        <f>OR(G26="PU_CLERK",H25=11000)</f>
        <v>1</v>
      </c>
      <c r="N30" s="8" t="s">
        <v>288</v>
      </c>
      <c r="O30" t="b">
        <f>AND(G2="SH_CLERK",H2=2600)</f>
        <v>1</v>
      </c>
      <c r="Q30" s="8" t="s">
        <v>289</v>
      </c>
      <c r="S30" t="b">
        <f>OR(G2="SH_CLERK",H2=2600)</f>
        <v>1</v>
      </c>
    </row>
    <row r="31" spans="1:19" x14ac:dyDescent="0.25">
      <c r="A31" s="2">
        <v>120</v>
      </c>
      <c r="B31" t="s">
        <v>140</v>
      </c>
      <c r="C31" t="s">
        <v>141</v>
      </c>
      <c r="D31" t="s">
        <v>142</v>
      </c>
      <c r="E31" t="s">
        <v>143</v>
      </c>
      <c r="F31" s="1">
        <v>38186</v>
      </c>
      <c r="G31" t="s">
        <v>144</v>
      </c>
      <c r="H31">
        <v>8000</v>
      </c>
      <c r="I31">
        <f t="shared" si="0"/>
        <v>0</v>
      </c>
      <c r="J31">
        <v>100</v>
      </c>
      <c r="K31">
        <v>50</v>
      </c>
      <c r="O31" t="b">
        <f t="shared" ref="O31:O32" si="2">AND(G3="SH_CLERK",H3=2600)</f>
        <v>1</v>
      </c>
      <c r="P31" t="b">
        <f>AND(H30&gt;2400,J30&gt;100)</f>
        <v>1</v>
      </c>
      <c r="R31" t="b">
        <f>OR(H30&gt;2400,J30&gt;200)</f>
        <v>1</v>
      </c>
      <c r="S31" t="b">
        <f t="shared" ref="S31:S33" si="3">OR(G3="SH_CLERK",H3=2600)</f>
        <v>1</v>
      </c>
    </row>
    <row r="32" spans="1:19" x14ac:dyDescent="0.25">
      <c r="A32" s="2">
        <v>121</v>
      </c>
      <c r="B32" t="s">
        <v>145</v>
      </c>
      <c r="C32" t="s">
        <v>146</v>
      </c>
      <c r="D32" t="s">
        <v>147</v>
      </c>
      <c r="E32" t="s">
        <v>148</v>
      </c>
      <c r="F32" s="1">
        <v>38452</v>
      </c>
      <c r="G32" t="s">
        <v>144</v>
      </c>
      <c r="H32">
        <v>8200</v>
      </c>
      <c r="I32">
        <f t="shared" si="0"/>
        <v>0</v>
      </c>
      <c r="J32">
        <v>100</v>
      </c>
      <c r="K32">
        <v>50</v>
      </c>
      <c r="O32" t="b">
        <f t="shared" si="2"/>
        <v>0</v>
      </c>
      <c r="S32" t="b">
        <f>OR(G4="SH_CLERK",H4=4400)</f>
        <v>1</v>
      </c>
    </row>
    <row r="33" spans="1:19" x14ac:dyDescent="0.25">
      <c r="A33" s="2">
        <v>122</v>
      </c>
      <c r="B33" t="s">
        <v>149</v>
      </c>
      <c r="C33" t="s">
        <v>150</v>
      </c>
      <c r="D33" t="s">
        <v>151</v>
      </c>
      <c r="E33" t="s">
        <v>152</v>
      </c>
      <c r="F33" s="1">
        <v>37742</v>
      </c>
      <c r="G33" t="s">
        <v>144</v>
      </c>
      <c r="H33">
        <v>7900</v>
      </c>
      <c r="I33">
        <f t="shared" si="0"/>
        <v>0</v>
      </c>
      <c r="J33">
        <v>100</v>
      </c>
      <c r="K33">
        <v>50</v>
      </c>
      <c r="S33" t="b">
        <f t="shared" si="3"/>
        <v>0</v>
      </c>
    </row>
    <row r="34" spans="1:19" x14ac:dyDescent="0.25">
      <c r="A34" s="2">
        <v>123</v>
      </c>
      <c r="B34" t="s">
        <v>153</v>
      </c>
      <c r="C34" t="s">
        <v>154</v>
      </c>
      <c r="D34" t="s">
        <v>155</v>
      </c>
      <c r="E34" t="s">
        <v>156</v>
      </c>
      <c r="F34" s="1">
        <v>38635</v>
      </c>
      <c r="G34" t="s">
        <v>144</v>
      </c>
      <c r="H34">
        <v>6500</v>
      </c>
      <c r="I34">
        <f t="shared" si="0"/>
        <v>0</v>
      </c>
      <c r="J34">
        <v>100</v>
      </c>
      <c r="K34">
        <v>50</v>
      </c>
      <c r="L34" s="9">
        <f ca="1">TODAY()</f>
        <v>45836</v>
      </c>
      <c r="N34" s="8" t="s">
        <v>290</v>
      </c>
      <c r="O34" s="9">
        <f ca="1">TODAY()</f>
        <v>45836</v>
      </c>
      <c r="P34" s="9">
        <f ca="1">TODAY()</f>
        <v>45836</v>
      </c>
      <c r="Q34" s="9">
        <f ca="1">TODAY()</f>
        <v>45836</v>
      </c>
    </row>
    <row r="35" spans="1:19" x14ac:dyDescent="0.25">
      <c r="A35" s="2">
        <v>124</v>
      </c>
      <c r="B35" t="s">
        <v>157</v>
      </c>
      <c r="C35" t="s">
        <v>158</v>
      </c>
      <c r="D35" t="s">
        <v>159</v>
      </c>
      <c r="E35" t="s">
        <v>160</v>
      </c>
      <c r="F35" s="1">
        <v>39402</v>
      </c>
      <c r="G35" t="s">
        <v>144</v>
      </c>
      <c r="H35">
        <v>5800</v>
      </c>
      <c r="I35">
        <f t="shared" si="0"/>
        <v>0</v>
      </c>
      <c r="J35">
        <v>100</v>
      </c>
      <c r="K35">
        <v>50</v>
      </c>
      <c r="L35" s="9"/>
    </row>
    <row r="36" spans="1:19" x14ac:dyDescent="0.25">
      <c r="A36" s="2">
        <v>125</v>
      </c>
      <c r="B36" t="s">
        <v>161</v>
      </c>
      <c r="C36" t="s">
        <v>162</v>
      </c>
      <c r="D36" t="s">
        <v>163</v>
      </c>
      <c r="E36" t="s">
        <v>164</v>
      </c>
      <c r="F36" s="1">
        <v>38549</v>
      </c>
      <c r="G36" t="s">
        <v>165</v>
      </c>
      <c r="H36">
        <v>3200</v>
      </c>
      <c r="I36">
        <f t="shared" si="0"/>
        <v>0</v>
      </c>
      <c r="J36">
        <v>120</v>
      </c>
      <c r="K36">
        <v>50</v>
      </c>
      <c r="N36" t="s">
        <v>239</v>
      </c>
      <c r="O36">
        <v>199.11099999999999</v>
      </c>
      <c r="P36">
        <f>ROUND(O36,1)</f>
        <v>199.1</v>
      </c>
      <c r="Q36">
        <f>ROUND(O36,2)</f>
        <v>199.11</v>
      </c>
    </row>
    <row r="37" spans="1:19" x14ac:dyDescent="0.25">
      <c r="A37" s="2">
        <v>126</v>
      </c>
      <c r="B37" t="s">
        <v>166</v>
      </c>
      <c r="C37" t="s">
        <v>167</v>
      </c>
      <c r="D37" t="s">
        <v>168</v>
      </c>
      <c r="E37" t="s">
        <v>169</v>
      </c>
      <c r="F37" s="1">
        <v>38988</v>
      </c>
      <c r="G37" t="s">
        <v>165</v>
      </c>
      <c r="H37">
        <v>2700</v>
      </c>
      <c r="I37">
        <f t="shared" si="0"/>
        <v>0</v>
      </c>
      <c r="J37">
        <v>120</v>
      </c>
      <c r="K37">
        <v>50</v>
      </c>
      <c r="O37">
        <v>88.129000000000005</v>
      </c>
      <c r="P37">
        <f>ROUND(O37,1)</f>
        <v>88.1</v>
      </c>
    </row>
    <row r="38" spans="1:19" x14ac:dyDescent="0.25">
      <c r="A38" s="2">
        <v>127</v>
      </c>
      <c r="B38" t="s">
        <v>170</v>
      </c>
      <c r="C38" t="s">
        <v>171</v>
      </c>
      <c r="D38" t="s">
        <v>172</v>
      </c>
      <c r="E38" t="s">
        <v>173</v>
      </c>
      <c r="F38" s="1">
        <v>39096</v>
      </c>
      <c r="G38" t="s">
        <v>165</v>
      </c>
      <c r="H38">
        <v>2400</v>
      </c>
      <c r="I38">
        <f t="shared" si="0"/>
        <v>0</v>
      </c>
      <c r="J38">
        <v>120</v>
      </c>
      <c r="K38">
        <v>50</v>
      </c>
      <c r="N38" t="s">
        <v>240</v>
      </c>
      <c r="O38">
        <v>114.7261</v>
      </c>
      <c r="P38">
        <f>ROUNDUP(O38,1)</f>
        <v>114.8</v>
      </c>
    </row>
    <row r="39" spans="1:19" x14ac:dyDescent="0.25">
      <c r="A39" s="2">
        <v>128</v>
      </c>
      <c r="B39" t="s">
        <v>54</v>
      </c>
      <c r="C39" t="s">
        <v>174</v>
      </c>
      <c r="D39" t="s">
        <v>175</v>
      </c>
      <c r="E39" t="s">
        <v>176</v>
      </c>
      <c r="F39" s="1">
        <v>39515</v>
      </c>
      <c r="G39" t="s">
        <v>165</v>
      </c>
      <c r="H39">
        <v>2200</v>
      </c>
      <c r="I39">
        <f t="shared" si="0"/>
        <v>0</v>
      </c>
      <c r="J39">
        <v>120</v>
      </c>
      <c r="K39">
        <v>50</v>
      </c>
      <c r="N39" t="s">
        <v>241</v>
      </c>
      <c r="O39">
        <v>114.7261</v>
      </c>
      <c r="P39">
        <f>ROUNDDOWN(O39,0)</f>
        <v>114</v>
      </c>
    </row>
    <row r="40" spans="1:19" x14ac:dyDescent="0.25">
      <c r="A40" s="2">
        <v>129</v>
      </c>
      <c r="B40" t="s">
        <v>177</v>
      </c>
      <c r="C40" t="s">
        <v>178</v>
      </c>
      <c r="D40" t="s">
        <v>179</v>
      </c>
      <c r="E40" t="s">
        <v>180</v>
      </c>
      <c r="F40" s="1">
        <v>38584</v>
      </c>
      <c r="G40" t="s">
        <v>165</v>
      </c>
      <c r="H40">
        <v>3300</v>
      </c>
      <c r="I40">
        <f t="shared" si="0"/>
        <v>0</v>
      </c>
      <c r="J40">
        <v>121</v>
      </c>
      <c r="K40">
        <v>50</v>
      </c>
      <c r="N40" t="s">
        <v>374</v>
      </c>
      <c r="O40">
        <v>11</v>
      </c>
      <c r="P40">
        <f>SQRT(O40)</f>
        <v>3.3166247903553998</v>
      </c>
    </row>
    <row r="41" spans="1:19" x14ac:dyDescent="0.25">
      <c r="A41" s="2">
        <v>130</v>
      </c>
      <c r="B41" t="s">
        <v>181</v>
      </c>
      <c r="C41" t="s">
        <v>182</v>
      </c>
      <c r="D41" t="s">
        <v>183</v>
      </c>
      <c r="E41" t="s">
        <v>184</v>
      </c>
      <c r="F41" s="1">
        <v>38655</v>
      </c>
      <c r="G41" t="s">
        <v>165</v>
      </c>
      <c r="H41">
        <v>2800</v>
      </c>
      <c r="I41">
        <f t="shared" si="0"/>
        <v>0</v>
      </c>
      <c r="J41">
        <v>121</v>
      </c>
      <c r="K41">
        <v>50</v>
      </c>
      <c r="O41">
        <v>25</v>
      </c>
      <c r="P41">
        <f>SQRT(O41)</f>
        <v>5</v>
      </c>
    </row>
    <row r="42" spans="1:19" x14ac:dyDescent="0.25">
      <c r="A42" s="2">
        <v>131</v>
      </c>
      <c r="B42" t="s">
        <v>170</v>
      </c>
      <c r="C42" t="s">
        <v>185</v>
      </c>
      <c r="D42" t="s">
        <v>186</v>
      </c>
      <c r="E42" t="s">
        <v>187</v>
      </c>
      <c r="F42" s="1">
        <v>38399</v>
      </c>
      <c r="G42" t="s">
        <v>165</v>
      </c>
      <c r="H42">
        <v>2500</v>
      </c>
      <c r="I42">
        <f t="shared" si="0"/>
        <v>0</v>
      </c>
      <c r="J42">
        <v>121</v>
      </c>
      <c r="K42">
        <v>50</v>
      </c>
      <c r="N42" s="47" t="s">
        <v>455</v>
      </c>
    </row>
    <row r="43" spans="1:19" x14ac:dyDescent="0.25">
      <c r="A43" s="2">
        <v>132</v>
      </c>
      <c r="B43" t="s">
        <v>188</v>
      </c>
      <c r="C43" t="s">
        <v>189</v>
      </c>
      <c r="D43" t="s">
        <v>190</v>
      </c>
      <c r="E43" t="s">
        <v>191</v>
      </c>
      <c r="F43" s="1">
        <v>39182</v>
      </c>
      <c r="G43" t="s">
        <v>165</v>
      </c>
      <c r="H43">
        <v>2100</v>
      </c>
      <c r="I43">
        <f t="shared" si="0"/>
        <v>0</v>
      </c>
      <c r="J43">
        <v>121</v>
      </c>
      <c r="K43">
        <v>50</v>
      </c>
      <c r="L43">
        <f>AVERAGE(H:H)</f>
        <v>6182.32</v>
      </c>
      <c r="N43" t="s">
        <v>456</v>
      </c>
      <c r="O43">
        <f>AVERAGE(H:H)</f>
        <v>6182.32</v>
      </c>
    </row>
    <row r="44" spans="1:19" x14ac:dyDescent="0.25">
      <c r="A44" s="2">
        <v>133</v>
      </c>
      <c r="B44" t="s">
        <v>192</v>
      </c>
      <c r="C44" t="s">
        <v>193</v>
      </c>
      <c r="D44" t="s">
        <v>194</v>
      </c>
      <c r="E44" t="s">
        <v>195</v>
      </c>
      <c r="F44" s="1">
        <v>38152</v>
      </c>
      <c r="G44" t="s">
        <v>165</v>
      </c>
      <c r="H44">
        <v>3300</v>
      </c>
      <c r="I44">
        <f t="shared" si="0"/>
        <v>0</v>
      </c>
      <c r="J44">
        <v>122</v>
      </c>
      <c r="K44">
        <v>50</v>
      </c>
      <c r="L44">
        <f>MEDIAN(H:H)</f>
        <v>4600</v>
      </c>
      <c r="N44" t="s">
        <v>457</v>
      </c>
      <c r="O44">
        <f>MEDIAN(H:H)</f>
        <v>4600</v>
      </c>
    </row>
    <row r="45" spans="1:19" x14ac:dyDescent="0.25">
      <c r="A45" s="2">
        <v>134</v>
      </c>
      <c r="B45" t="s">
        <v>24</v>
      </c>
      <c r="C45" t="s">
        <v>196</v>
      </c>
      <c r="D45" t="s">
        <v>197</v>
      </c>
      <c r="E45" t="s">
        <v>198</v>
      </c>
      <c r="F45" s="1">
        <v>38955</v>
      </c>
      <c r="G45" t="s">
        <v>165</v>
      </c>
      <c r="H45">
        <v>2900</v>
      </c>
      <c r="I45">
        <f t="shared" si="0"/>
        <v>0</v>
      </c>
      <c r="J45">
        <v>122</v>
      </c>
      <c r="K45">
        <v>50</v>
      </c>
      <c r="L45">
        <f>MODE(H:H)</f>
        <v>2600</v>
      </c>
      <c r="N45" t="s">
        <v>458</v>
      </c>
      <c r="O45">
        <f>MODE(H:H)</f>
        <v>2600</v>
      </c>
    </row>
    <row r="46" spans="1:19" x14ac:dyDescent="0.25">
      <c r="A46" s="2">
        <v>135</v>
      </c>
      <c r="B46" t="s">
        <v>199</v>
      </c>
      <c r="C46" t="s">
        <v>200</v>
      </c>
      <c r="D46" t="s">
        <v>201</v>
      </c>
      <c r="E46" t="s">
        <v>202</v>
      </c>
      <c r="F46" s="1">
        <v>39428</v>
      </c>
      <c r="G46" t="s">
        <v>165</v>
      </c>
      <c r="H46">
        <v>2400</v>
      </c>
      <c r="I46">
        <f t="shared" si="0"/>
        <v>0</v>
      </c>
      <c r="J46">
        <v>122</v>
      </c>
      <c r="K46">
        <v>50</v>
      </c>
      <c r="L46">
        <f>_xlfn.MODE.MULT(H:H)</f>
        <v>2600</v>
      </c>
      <c r="M46">
        <f>_xlfn.MODE.SNGL(H:H)</f>
        <v>2600</v>
      </c>
      <c r="N46" t="s">
        <v>459</v>
      </c>
      <c r="O46">
        <f>_xlfn.STDEV.P(H:H)</f>
        <v>4540.0883226651003</v>
      </c>
    </row>
    <row r="47" spans="1:19" x14ac:dyDescent="0.25">
      <c r="A47" s="2">
        <v>136</v>
      </c>
      <c r="B47" t="s">
        <v>203</v>
      </c>
      <c r="C47" t="s">
        <v>204</v>
      </c>
      <c r="D47" t="s">
        <v>205</v>
      </c>
      <c r="E47" t="s">
        <v>206</v>
      </c>
      <c r="F47" s="1">
        <v>39484</v>
      </c>
      <c r="G47" t="s">
        <v>165</v>
      </c>
      <c r="H47">
        <v>2200</v>
      </c>
      <c r="I47">
        <f t="shared" si="0"/>
        <v>0</v>
      </c>
      <c r="J47">
        <v>122</v>
      </c>
      <c r="K47">
        <v>50</v>
      </c>
      <c r="L47">
        <f>_xlfn.MODE.SNGL(H:H)</f>
        <v>2600</v>
      </c>
      <c r="O47">
        <f>_xlfn.STDEV.S(H:H)</f>
        <v>4586.1817716319292</v>
      </c>
    </row>
    <row r="48" spans="1:19" x14ac:dyDescent="0.25">
      <c r="A48" s="2">
        <v>137</v>
      </c>
      <c r="B48" t="s">
        <v>207</v>
      </c>
      <c r="C48" t="s">
        <v>208</v>
      </c>
      <c r="D48" t="s">
        <v>209</v>
      </c>
      <c r="E48" t="s">
        <v>210</v>
      </c>
      <c r="F48" s="1">
        <v>37816</v>
      </c>
      <c r="G48" t="s">
        <v>165</v>
      </c>
      <c r="H48">
        <v>3600</v>
      </c>
      <c r="I48">
        <f t="shared" si="0"/>
        <v>0</v>
      </c>
      <c r="J48">
        <v>123</v>
      </c>
      <c r="K48">
        <v>50</v>
      </c>
      <c r="L48">
        <f>LARGE(H:H,1)</f>
        <v>24000</v>
      </c>
      <c r="N48" t="s">
        <v>460</v>
      </c>
      <c r="O48">
        <f>LARGE(H:H,2)</f>
        <v>17000</v>
      </c>
    </row>
    <row r="49" spans="1:15" x14ac:dyDescent="0.25">
      <c r="A49" s="2">
        <v>138</v>
      </c>
      <c r="B49" t="s">
        <v>211</v>
      </c>
      <c r="C49" t="s">
        <v>212</v>
      </c>
      <c r="D49" t="s">
        <v>213</v>
      </c>
      <c r="E49" t="s">
        <v>214</v>
      </c>
      <c r="F49" s="1">
        <v>38651</v>
      </c>
      <c r="G49" t="s">
        <v>165</v>
      </c>
      <c r="H49">
        <v>3200</v>
      </c>
      <c r="I49">
        <f t="shared" si="0"/>
        <v>0</v>
      </c>
      <c r="J49">
        <v>123</v>
      </c>
      <c r="K49">
        <v>50</v>
      </c>
      <c r="L49">
        <f>SMALL(H:H,1)</f>
        <v>2100</v>
      </c>
      <c r="N49" t="s">
        <v>461</v>
      </c>
      <c r="O49">
        <f>SMALL(H:H,1)</f>
        <v>2100</v>
      </c>
    </row>
    <row r="50" spans="1:15" x14ac:dyDescent="0.25">
      <c r="A50" s="2">
        <v>139</v>
      </c>
      <c r="B50" t="s">
        <v>99</v>
      </c>
      <c r="C50" t="s">
        <v>215</v>
      </c>
      <c r="D50" t="s">
        <v>216</v>
      </c>
      <c r="E50" t="s">
        <v>217</v>
      </c>
      <c r="F50" s="1">
        <v>38760</v>
      </c>
      <c r="G50" t="s">
        <v>165</v>
      </c>
      <c r="H50">
        <v>2700</v>
      </c>
      <c r="I50">
        <f t="shared" si="0"/>
        <v>0</v>
      </c>
      <c r="J50">
        <v>123</v>
      </c>
      <c r="K50">
        <v>50</v>
      </c>
    </row>
    <row r="51" spans="1:15" x14ac:dyDescent="0.25">
      <c r="A51" s="2">
        <v>140</v>
      </c>
      <c r="B51" t="s">
        <v>218</v>
      </c>
      <c r="C51" t="s">
        <v>219</v>
      </c>
      <c r="D51" t="s">
        <v>220</v>
      </c>
      <c r="E51" t="s">
        <v>221</v>
      </c>
      <c r="F51" s="1">
        <v>38813</v>
      </c>
      <c r="G51" t="s">
        <v>165</v>
      </c>
      <c r="H51">
        <v>2500</v>
      </c>
      <c r="I51">
        <f t="shared" si="0"/>
        <v>0</v>
      </c>
      <c r="J51">
        <v>123</v>
      </c>
      <c r="K51">
        <v>50</v>
      </c>
    </row>
  </sheetData>
  <autoFilter ref="A1:K51" xr:uid="{00000000-0009-0000-0000-000000000000}"/>
  <customSheetViews>
    <customSheetView guid="{17B4BC62-A64E-4181-AF33-17F939339C15}" showAutoFilter="1" topLeftCell="A37">
      <selection activeCell="L50" sqref="L50"/>
      <pageMargins left="0.7" right="0.7" top="0.75" bottom="0.75" header="0.3" footer="0.3"/>
      <pageSetup paperSize="9" orientation="portrait" horizontalDpi="300" verticalDpi="0" copies="0" r:id="rId1"/>
      <autoFilter ref="A1:K51" xr:uid="{00000000-0009-0000-0000-000000000000}"/>
    </customSheetView>
  </customSheetViews>
  <pageMargins left="0.7" right="0.7" top="0.75" bottom="0.75" header="0.3" footer="0.3"/>
  <pageSetup paperSize="9" orientation="portrait" horizontalDpi="300" verticalDpi="0" copies="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2"/>
  <sheetViews>
    <sheetView tabSelected="1" topLeftCell="A7" workbookViewId="0">
      <selection activeCell="I19" sqref="I19"/>
    </sheetView>
  </sheetViews>
  <sheetFormatPr defaultRowHeight="15" x14ac:dyDescent="0.25"/>
  <cols>
    <col min="3" max="3" width="14.7109375" bestFit="1" customWidth="1"/>
  </cols>
  <sheetData>
    <row r="1" spans="1:6" x14ac:dyDescent="0.25">
      <c r="A1" s="7" t="s">
        <v>462</v>
      </c>
      <c r="B1" s="7" t="s">
        <v>463</v>
      </c>
      <c r="C1" s="7" t="s">
        <v>464</v>
      </c>
      <c r="D1" s="49" t="s">
        <v>466</v>
      </c>
      <c r="F1" s="48">
        <f>CORREL(B2:B7,C2:C7)</f>
        <v>0.52980890189017449</v>
      </c>
    </row>
    <row r="2" spans="1:6" x14ac:dyDescent="0.25">
      <c r="A2" s="7">
        <v>1</v>
      </c>
      <c r="B2" s="7">
        <v>43</v>
      </c>
      <c r="C2" s="7">
        <v>99</v>
      </c>
      <c r="D2">
        <f>CORREL(A2:A7,B2:B7)</f>
        <v>0.69558164799824085</v>
      </c>
    </row>
    <row r="3" spans="1:6" x14ac:dyDescent="0.25">
      <c r="A3" s="7">
        <v>2</v>
      </c>
      <c r="B3" s="7">
        <v>21</v>
      </c>
      <c r="C3" s="7">
        <v>65</v>
      </c>
    </row>
    <row r="4" spans="1:6" x14ac:dyDescent="0.25">
      <c r="A4" s="7">
        <v>3</v>
      </c>
      <c r="B4" s="7">
        <v>25</v>
      </c>
      <c r="C4" s="7">
        <v>79</v>
      </c>
    </row>
    <row r="5" spans="1:6" x14ac:dyDescent="0.25">
      <c r="A5" s="7">
        <v>4</v>
      </c>
      <c r="B5" s="7">
        <v>42</v>
      </c>
      <c r="C5" s="7">
        <v>75</v>
      </c>
    </row>
    <row r="6" spans="1:6" x14ac:dyDescent="0.25">
      <c r="A6" s="7">
        <v>5</v>
      </c>
      <c r="B6" s="7">
        <v>57</v>
      </c>
      <c r="C6" s="7">
        <v>87</v>
      </c>
      <c r="E6" t="s">
        <v>465</v>
      </c>
    </row>
    <row r="7" spans="1:6" x14ac:dyDescent="0.25">
      <c r="A7" s="7">
        <v>6</v>
      </c>
      <c r="B7" s="7">
        <v>59</v>
      </c>
      <c r="C7" s="7">
        <v>81</v>
      </c>
    </row>
    <row r="11" spans="1:6" x14ac:dyDescent="0.25">
      <c r="C11" t="s">
        <v>467</v>
      </c>
    </row>
    <row r="12" spans="1:6" x14ac:dyDescent="0.25">
      <c r="A12" t="s">
        <v>468</v>
      </c>
      <c r="B12">
        <v>2016</v>
      </c>
      <c r="C12">
        <v>2017</v>
      </c>
      <c r="D12">
        <f>CORREL(B13:B22,C13:C22)</f>
        <v>0.60687053407179126</v>
      </c>
    </row>
    <row r="13" spans="1:6" x14ac:dyDescent="0.25">
      <c r="A13" t="s">
        <v>469</v>
      </c>
      <c r="B13">
        <v>65</v>
      </c>
      <c r="C13">
        <v>70</v>
      </c>
    </row>
    <row r="14" spans="1:6" x14ac:dyDescent="0.25">
      <c r="A14" t="s">
        <v>470</v>
      </c>
      <c r="B14">
        <v>55</v>
      </c>
      <c r="C14">
        <v>65</v>
      </c>
    </row>
    <row r="15" spans="1:6" x14ac:dyDescent="0.25">
      <c r="A15" t="s">
        <v>471</v>
      </c>
      <c r="B15">
        <v>45</v>
      </c>
      <c r="C15">
        <v>52</v>
      </c>
    </row>
    <row r="16" spans="1:6" x14ac:dyDescent="0.25">
      <c r="A16" t="s">
        <v>472</v>
      </c>
      <c r="B16">
        <v>41</v>
      </c>
      <c r="C16">
        <v>42</v>
      </c>
    </row>
    <row r="17" spans="1:3" x14ac:dyDescent="0.25">
      <c r="A17" t="s">
        <v>473</v>
      </c>
      <c r="B17">
        <v>45</v>
      </c>
      <c r="C17">
        <v>41</v>
      </c>
    </row>
    <row r="18" spans="1:3" x14ac:dyDescent="0.25">
      <c r="A18" t="s">
        <v>474</v>
      </c>
      <c r="B18">
        <v>32</v>
      </c>
      <c r="C18">
        <v>23</v>
      </c>
    </row>
    <row r="19" spans="1:3" x14ac:dyDescent="0.25">
      <c r="A19" t="s">
        <v>475</v>
      </c>
      <c r="B19">
        <v>40</v>
      </c>
      <c r="C19">
        <v>25</v>
      </c>
    </row>
    <row r="20" spans="1:3" x14ac:dyDescent="0.25">
      <c r="A20" t="s">
        <v>476</v>
      </c>
      <c r="B20">
        <v>50</v>
      </c>
      <c r="C20">
        <v>24</v>
      </c>
    </row>
    <row r="21" spans="1:3" x14ac:dyDescent="0.25">
      <c r="A21" t="s">
        <v>477</v>
      </c>
      <c r="B21">
        <v>39</v>
      </c>
      <c r="C21">
        <v>19</v>
      </c>
    </row>
    <row r="22" spans="1:3" x14ac:dyDescent="0.25">
      <c r="A22" t="s">
        <v>478</v>
      </c>
      <c r="B22">
        <v>36</v>
      </c>
      <c r="C22">
        <v>60</v>
      </c>
    </row>
  </sheetData>
  <customSheetViews>
    <customSheetView guid="{17B4BC62-A64E-4181-AF33-17F939339C15}" topLeftCell="A2">
      <selection activeCell="C23" sqref="C2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51"/>
  <sheetViews>
    <sheetView tabSelected="1" workbookViewId="0">
      <selection activeCell="I19" sqref="I19"/>
    </sheetView>
  </sheetViews>
  <sheetFormatPr defaultRowHeight="15" x14ac:dyDescent="0.25"/>
  <cols>
    <col min="1" max="1" width="13.140625" style="2" bestFit="1" customWidth="1"/>
    <col min="2" max="2" width="12.140625" bestFit="1" customWidth="1"/>
    <col min="3" max="3" width="11.5703125" bestFit="1" customWidth="1"/>
    <col min="4" max="4" width="11.42578125" bestFit="1" customWidth="1"/>
    <col min="5" max="5" width="16.140625" bestFit="1" customWidth="1"/>
    <col min="6" max="6" width="10.5703125" bestFit="1" customWidth="1"/>
    <col min="7" max="7" width="13.28515625" bestFit="1" customWidth="1"/>
    <col min="8" max="8" width="12.140625" customWidth="1"/>
    <col min="9" max="9" width="6.28515625" customWidth="1"/>
    <col min="10" max="10" width="4.42578125" customWidth="1"/>
    <col min="11" max="11" width="6.7109375" customWidth="1"/>
  </cols>
  <sheetData>
    <row r="1" spans="1:15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 s="2">
        <v>100</v>
      </c>
      <c r="B2" t="s">
        <v>54</v>
      </c>
      <c r="C2" t="s">
        <v>55</v>
      </c>
      <c r="D2" t="s">
        <v>56</v>
      </c>
      <c r="E2" t="s">
        <v>57</v>
      </c>
      <c r="F2" s="1">
        <v>37789</v>
      </c>
      <c r="G2" t="s">
        <v>58</v>
      </c>
      <c r="H2">
        <v>24000</v>
      </c>
      <c r="I2" t="s">
        <v>15</v>
      </c>
      <c r="J2" t="s">
        <v>15</v>
      </c>
      <c r="K2">
        <v>90</v>
      </c>
      <c r="O2" t="s">
        <v>295</v>
      </c>
    </row>
    <row r="3" spans="1:15" x14ac:dyDescent="0.25">
      <c r="A3" s="2">
        <v>101</v>
      </c>
      <c r="B3" t="s">
        <v>59</v>
      </c>
      <c r="C3" t="s">
        <v>60</v>
      </c>
      <c r="D3" t="s">
        <v>61</v>
      </c>
      <c r="E3" t="s">
        <v>62</v>
      </c>
      <c r="F3" s="1">
        <v>38616</v>
      </c>
      <c r="G3" t="s">
        <v>63</v>
      </c>
      <c r="H3">
        <v>17000</v>
      </c>
      <c r="I3" t="s">
        <v>15</v>
      </c>
      <c r="J3">
        <v>100</v>
      </c>
      <c r="K3">
        <v>91</v>
      </c>
      <c r="O3" t="s">
        <v>296</v>
      </c>
    </row>
    <row r="4" spans="1:15" x14ac:dyDescent="0.25">
      <c r="A4" s="2">
        <v>102</v>
      </c>
      <c r="B4" t="s">
        <v>64</v>
      </c>
      <c r="C4" t="s">
        <v>65</v>
      </c>
      <c r="D4" t="s">
        <v>66</v>
      </c>
      <c r="E4" t="s">
        <v>67</v>
      </c>
      <c r="F4" s="1">
        <v>36904</v>
      </c>
      <c r="G4" t="s">
        <v>63</v>
      </c>
      <c r="H4">
        <v>17000</v>
      </c>
      <c r="I4" t="s">
        <v>15</v>
      </c>
      <c r="J4">
        <v>100</v>
      </c>
      <c r="K4">
        <v>90</v>
      </c>
      <c r="O4" t="s">
        <v>288</v>
      </c>
    </row>
    <row r="5" spans="1:15" x14ac:dyDescent="0.25">
      <c r="A5" s="2" t="s">
        <v>293</v>
      </c>
      <c r="B5" t="s">
        <v>24</v>
      </c>
      <c r="C5" t="s">
        <v>25</v>
      </c>
      <c r="D5" t="s">
        <v>26</v>
      </c>
      <c r="E5" t="s">
        <v>27</v>
      </c>
      <c r="F5" s="1">
        <v>38034</v>
      </c>
      <c r="G5" t="s">
        <v>28</v>
      </c>
      <c r="H5">
        <v>13000</v>
      </c>
      <c r="I5" t="s">
        <v>15</v>
      </c>
      <c r="J5">
        <v>100</v>
      </c>
      <c r="K5">
        <v>20</v>
      </c>
      <c r="O5" t="s">
        <v>289</v>
      </c>
    </row>
    <row r="6" spans="1:15" x14ac:dyDescent="0.25">
      <c r="A6" s="2" t="s">
        <v>294</v>
      </c>
      <c r="B6" t="s">
        <v>44</v>
      </c>
      <c r="C6" t="s">
        <v>45</v>
      </c>
      <c r="D6" t="s">
        <v>46</v>
      </c>
      <c r="E6" t="s">
        <v>47</v>
      </c>
      <c r="F6" s="1">
        <v>37414</v>
      </c>
      <c r="G6" t="s">
        <v>48</v>
      </c>
      <c r="H6">
        <v>12008</v>
      </c>
      <c r="I6" t="s">
        <v>15</v>
      </c>
      <c r="J6">
        <v>101</v>
      </c>
      <c r="K6">
        <v>110</v>
      </c>
    </row>
    <row r="7" spans="1:15" x14ac:dyDescent="0.25">
      <c r="A7" s="2">
        <v>108</v>
      </c>
      <c r="B7" t="s">
        <v>89</v>
      </c>
      <c r="C7" t="s">
        <v>90</v>
      </c>
      <c r="D7" t="s">
        <v>91</v>
      </c>
      <c r="E7" t="s">
        <v>92</v>
      </c>
      <c r="F7" s="1">
        <v>37485</v>
      </c>
      <c r="G7" t="s">
        <v>93</v>
      </c>
      <c r="H7">
        <v>12008</v>
      </c>
      <c r="I7" t="s">
        <v>15</v>
      </c>
      <c r="J7">
        <v>101</v>
      </c>
      <c r="K7">
        <v>100</v>
      </c>
    </row>
    <row r="8" spans="1:15" x14ac:dyDescent="0.25">
      <c r="A8" s="2">
        <v>114</v>
      </c>
      <c r="B8" t="s">
        <v>115</v>
      </c>
      <c r="C8" t="s">
        <v>116</v>
      </c>
      <c r="D8" t="s">
        <v>117</v>
      </c>
      <c r="E8" t="s">
        <v>118</v>
      </c>
      <c r="F8" s="1">
        <v>37597</v>
      </c>
      <c r="G8" t="s">
        <v>119</v>
      </c>
      <c r="H8">
        <v>11000</v>
      </c>
      <c r="I8" t="s">
        <v>15</v>
      </c>
      <c r="J8">
        <v>100</v>
      </c>
      <c r="K8">
        <v>30</v>
      </c>
    </row>
    <row r="9" spans="1:15" x14ac:dyDescent="0.25">
      <c r="A9" s="2">
        <v>204</v>
      </c>
      <c r="B9" t="s">
        <v>39</v>
      </c>
      <c r="C9" t="s">
        <v>40</v>
      </c>
      <c r="D9" t="s">
        <v>41</v>
      </c>
      <c r="E9" t="s">
        <v>42</v>
      </c>
      <c r="F9" s="1">
        <v>37414</v>
      </c>
      <c r="G9" t="s">
        <v>43</v>
      </c>
      <c r="H9">
        <v>10000</v>
      </c>
      <c r="I9" t="s">
        <v>15</v>
      </c>
      <c r="J9">
        <v>101</v>
      </c>
      <c r="K9">
        <v>70</v>
      </c>
    </row>
    <row r="10" spans="1:15" x14ac:dyDescent="0.25">
      <c r="A10" s="2">
        <v>103</v>
      </c>
      <c r="B10" t="s">
        <v>68</v>
      </c>
      <c r="C10" t="s">
        <v>69</v>
      </c>
      <c r="D10" t="s">
        <v>70</v>
      </c>
      <c r="E10" t="s">
        <v>71</v>
      </c>
      <c r="F10" s="1">
        <v>38720</v>
      </c>
      <c r="G10" t="s">
        <v>72</v>
      </c>
      <c r="H10">
        <v>9000</v>
      </c>
      <c r="I10" t="s">
        <v>15</v>
      </c>
      <c r="J10">
        <v>102</v>
      </c>
      <c r="K10">
        <v>60</v>
      </c>
    </row>
    <row r="11" spans="1:15" x14ac:dyDescent="0.25">
      <c r="A11" s="2">
        <v>109</v>
      </c>
      <c r="B11" t="s">
        <v>94</v>
      </c>
      <c r="C11" t="s">
        <v>95</v>
      </c>
      <c r="D11" t="s">
        <v>96</v>
      </c>
      <c r="E11" t="s">
        <v>97</v>
      </c>
      <c r="F11" s="1">
        <v>37484</v>
      </c>
      <c r="G11" t="s">
        <v>98</v>
      </c>
      <c r="H11">
        <v>9000</v>
      </c>
      <c r="I11" t="s">
        <v>15</v>
      </c>
      <c r="J11">
        <v>108</v>
      </c>
      <c r="K11">
        <v>100</v>
      </c>
    </row>
    <row r="12" spans="1:15" x14ac:dyDescent="0.25">
      <c r="A12" s="2">
        <v>206</v>
      </c>
      <c r="B12" t="s">
        <v>49</v>
      </c>
      <c r="C12" t="s">
        <v>50</v>
      </c>
      <c r="D12" t="s">
        <v>51</v>
      </c>
      <c r="E12" t="s">
        <v>52</v>
      </c>
      <c r="F12" s="1">
        <v>37414</v>
      </c>
      <c r="G12" t="s">
        <v>53</v>
      </c>
      <c r="H12">
        <v>8300</v>
      </c>
      <c r="I12" t="s">
        <v>15</v>
      </c>
      <c r="J12">
        <v>205</v>
      </c>
      <c r="K12">
        <v>110</v>
      </c>
    </row>
    <row r="13" spans="1:15" x14ac:dyDescent="0.25">
      <c r="A13" s="2">
        <v>110</v>
      </c>
      <c r="B13" t="s">
        <v>99</v>
      </c>
      <c r="C13" t="s">
        <v>100</v>
      </c>
      <c r="D13" t="s">
        <v>101</v>
      </c>
      <c r="E13" t="s">
        <v>102</v>
      </c>
      <c r="F13" s="1">
        <v>38623</v>
      </c>
      <c r="G13" t="s">
        <v>98</v>
      </c>
      <c r="H13">
        <v>8200</v>
      </c>
      <c r="I13" t="s">
        <v>15</v>
      </c>
      <c r="J13">
        <v>108</v>
      </c>
      <c r="K13">
        <v>100</v>
      </c>
    </row>
    <row r="14" spans="1:15" x14ac:dyDescent="0.25">
      <c r="A14" s="2">
        <v>121</v>
      </c>
      <c r="B14" t="s">
        <v>145</v>
      </c>
      <c r="C14" t="s">
        <v>146</v>
      </c>
      <c r="D14" t="s">
        <v>147</v>
      </c>
      <c r="E14" t="s">
        <v>148</v>
      </c>
      <c r="F14" s="1">
        <v>38452</v>
      </c>
      <c r="G14" t="s">
        <v>144</v>
      </c>
      <c r="H14">
        <v>8200</v>
      </c>
      <c r="I14" t="s">
        <v>15</v>
      </c>
      <c r="J14">
        <v>100</v>
      </c>
      <c r="K14">
        <v>50</v>
      </c>
    </row>
    <row r="15" spans="1:15" x14ac:dyDescent="0.25">
      <c r="A15" s="2">
        <v>120</v>
      </c>
      <c r="B15" t="s">
        <v>140</v>
      </c>
      <c r="C15" t="s">
        <v>141</v>
      </c>
      <c r="D15" t="s">
        <v>142</v>
      </c>
      <c r="E15" t="s">
        <v>143</v>
      </c>
      <c r="F15" s="1">
        <v>38186</v>
      </c>
      <c r="G15" t="s">
        <v>144</v>
      </c>
      <c r="H15">
        <v>8000</v>
      </c>
      <c r="I15" t="s">
        <v>15</v>
      </c>
      <c r="J15">
        <v>100</v>
      </c>
      <c r="K15">
        <v>50</v>
      </c>
    </row>
    <row r="16" spans="1:15" x14ac:dyDescent="0.25">
      <c r="A16" s="2">
        <v>122</v>
      </c>
      <c r="B16" t="s">
        <v>149</v>
      </c>
      <c r="C16" t="s">
        <v>150</v>
      </c>
      <c r="D16" t="s">
        <v>151</v>
      </c>
      <c r="E16" t="s">
        <v>152</v>
      </c>
      <c r="F16" s="1">
        <v>37742</v>
      </c>
      <c r="G16" t="s">
        <v>144</v>
      </c>
      <c r="H16">
        <v>7900</v>
      </c>
      <c r="I16" t="s">
        <v>15</v>
      </c>
      <c r="J16">
        <v>100</v>
      </c>
      <c r="K16">
        <v>50</v>
      </c>
    </row>
    <row r="17" spans="1:11" x14ac:dyDescent="0.25">
      <c r="A17" s="2">
        <v>112</v>
      </c>
      <c r="B17" t="s">
        <v>107</v>
      </c>
      <c r="C17" t="s">
        <v>108</v>
      </c>
      <c r="D17" t="s">
        <v>109</v>
      </c>
      <c r="E17" t="s">
        <v>110</v>
      </c>
      <c r="F17" s="1">
        <v>38783</v>
      </c>
      <c r="G17" t="s">
        <v>98</v>
      </c>
      <c r="H17">
        <v>7800</v>
      </c>
      <c r="I17" t="s">
        <v>15</v>
      </c>
      <c r="J17">
        <v>108</v>
      </c>
      <c r="K17">
        <v>100</v>
      </c>
    </row>
    <row r="18" spans="1:11" x14ac:dyDescent="0.25">
      <c r="A18" s="2">
        <v>111</v>
      </c>
      <c r="B18" t="s">
        <v>103</v>
      </c>
      <c r="C18" t="s">
        <v>104</v>
      </c>
      <c r="D18" t="s">
        <v>105</v>
      </c>
      <c r="E18" t="s">
        <v>106</v>
      </c>
      <c r="F18" s="1">
        <v>38625</v>
      </c>
      <c r="G18" t="s">
        <v>98</v>
      </c>
      <c r="H18">
        <v>7700</v>
      </c>
      <c r="I18" t="s">
        <v>15</v>
      </c>
      <c r="J18">
        <v>108</v>
      </c>
      <c r="K18">
        <v>100</v>
      </c>
    </row>
    <row r="19" spans="1:11" x14ac:dyDescent="0.25">
      <c r="A19" s="2">
        <v>113</v>
      </c>
      <c r="B19" t="s">
        <v>111</v>
      </c>
      <c r="C19" t="s">
        <v>112</v>
      </c>
      <c r="D19" t="s">
        <v>113</v>
      </c>
      <c r="E19" t="s">
        <v>114</v>
      </c>
      <c r="F19" s="1">
        <v>39423</v>
      </c>
      <c r="G19" t="s">
        <v>98</v>
      </c>
      <c r="H19">
        <v>6900</v>
      </c>
      <c r="I19" t="s">
        <v>15</v>
      </c>
      <c r="J19">
        <v>108</v>
      </c>
      <c r="K19">
        <v>100</v>
      </c>
    </row>
    <row r="20" spans="1:11" x14ac:dyDescent="0.25">
      <c r="A20" s="2">
        <v>203</v>
      </c>
      <c r="B20" t="s">
        <v>34</v>
      </c>
      <c r="C20" t="s">
        <v>35</v>
      </c>
      <c r="D20" t="s">
        <v>36</v>
      </c>
      <c r="E20" t="s">
        <v>37</v>
      </c>
      <c r="F20" s="1">
        <v>37414</v>
      </c>
      <c r="G20" t="s">
        <v>38</v>
      </c>
      <c r="H20">
        <v>6500</v>
      </c>
      <c r="I20" t="s">
        <v>15</v>
      </c>
      <c r="J20">
        <v>101</v>
      </c>
      <c r="K20">
        <v>40</v>
      </c>
    </row>
    <row r="21" spans="1:11" x14ac:dyDescent="0.25">
      <c r="A21" s="2">
        <v>123</v>
      </c>
      <c r="B21" t="s">
        <v>153</v>
      </c>
      <c r="C21" t="s">
        <v>154</v>
      </c>
      <c r="D21" t="s">
        <v>155</v>
      </c>
      <c r="E21" t="s">
        <v>156</v>
      </c>
      <c r="F21" s="1">
        <v>38635</v>
      </c>
      <c r="G21" t="s">
        <v>144</v>
      </c>
      <c r="H21">
        <v>6500</v>
      </c>
      <c r="I21" t="s">
        <v>15</v>
      </c>
      <c r="J21">
        <v>100</v>
      </c>
      <c r="K21">
        <v>50</v>
      </c>
    </row>
    <row r="22" spans="1:11" x14ac:dyDescent="0.25">
      <c r="A22" s="2">
        <v>202</v>
      </c>
      <c r="B22" t="s">
        <v>29</v>
      </c>
      <c r="C22" t="s">
        <v>30</v>
      </c>
      <c r="D22" t="s">
        <v>31</v>
      </c>
      <c r="E22" t="s">
        <v>32</v>
      </c>
      <c r="F22" s="1">
        <v>38581</v>
      </c>
      <c r="G22" t="s">
        <v>33</v>
      </c>
      <c r="H22">
        <v>6000</v>
      </c>
      <c r="I22" t="s">
        <v>15</v>
      </c>
      <c r="J22">
        <v>201</v>
      </c>
      <c r="K22">
        <v>20</v>
      </c>
    </row>
    <row r="23" spans="1:11" x14ac:dyDescent="0.25">
      <c r="A23" s="2">
        <v>104</v>
      </c>
      <c r="B23" t="s">
        <v>73</v>
      </c>
      <c r="C23" t="s">
        <v>74</v>
      </c>
      <c r="D23" t="s">
        <v>75</v>
      </c>
      <c r="E23" t="s">
        <v>76</v>
      </c>
      <c r="F23" s="1">
        <v>39223</v>
      </c>
      <c r="G23" t="s">
        <v>72</v>
      </c>
      <c r="H23">
        <v>6000</v>
      </c>
      <c r="I23" t="s">
        <v>15</v>
      </c>
      <c r="J23">
        <v>103</v>
      </c>
      <c r="K23">
        <v>60</v>
      </c>
    </row>
    <row r="24" spans="1:11" x14ac:dyDescent="0.25">
      <c r="A24" s="2">
        <v>124</v>
      </c>
      <c r="B24" t="s">
        <v>157</v>
      </c>
      <c r="C24" t="s">
        <v>158</v>
      </c>
      <c r="D24" t="s">
        <v>159</v>
      </c>
      <c r="E24" t="s">
        <v>160</v>
      </c>
      <c r="F24" s="1">
        <v>39402</v>
      </c>
      <c r="G24" t="s">
        <v>144</v>
      </c>
      <c r="H24">
        <v>5800</v>
      </c>
      <c r="I24" t="s">
        <v>15</v>
      </c>
      <c r="J24">
        <v>100</v>
      </c>
      <c r="K24">
        <v>50</v>
      </c>
    </row>
    <row r="25" spans="1:11" x14ac:dyDescent="0.25">
      <c r="A25" s="2">
        <v>105</v>
      </c>
      <c r="B25" t="s">
        <v>77</v>
      </c>
      <c r="C25" t="s">
        <v>78</v>
      </c>
      <c r="D25" t="s">
        <v>79</v>
      </c>
      <c r="E25" t="s">
        <v>80</v>
      </c>
      <c r="F25" s="1">
        <v>38528</v>
      </c>
      <c r="G25" t="s">
        <v>72</v>
      </c>
      <c r="H25">
        <v>4800</v>
      </c>
      <c r="I25" t="s">
        <v>15</v>
      </c>
      <c r="J25">
        <v>103</v>
      </c>
      <c r="K25">
        <v>60</v>
      </c>
    </row>
    <row r="26" spans="1:11" x14ac:dyDescent="0.25">
      <c r="A26" s="2">
        <v>106</v>
      </c>
      <c r="B26" t="s">
        <v>81</v>
      </c>
      <c r="C26" t="s">
        <v>82</v>
      </c>
      <c r="D26" t="s">
        <v>83</v>
      </c>
      <c r="E26" t="s">
        <v>84</v>
      </c>
      <c r="F26" s="1">
        <v>38753</v>
      </c>
      <c r="G26" t="s">
        <v>72</v>
      </c>
      <c r="H26">
        <v>4800</v>
      </c>
      <c r="I26" t="s">
        <v>15</v>
      </c>
      <c r="J26">
        <v>103</v>
      </c>
      <c r="K26">
        <v>60</v>
      </c>
    </row>
    <row r="27" spans="1:11" x14ac:dyDescent="0.25">
      <c r="A27" s="2">
        <v>200</v>
      </c>
      <c r="B27" t="s">
        <v>19</v>
      </c>
      <c r="C27" t="s">
        <v>20</v>
      </c>
      <c r="D27" t="s">
        <v>21</v>
      </c>
      <c r="E27" t="s">
        <v>22</v>
      </c>
      <c r="F27" s="1">
        <v>37881</v>
      </c>
      <c r="G27" t="s">
        <v>23</v>
      </c>
      <c r="H27">
        <v>4400</v>
      </c>
      <c r="I27" t="s">
        <v>15</v>
      </c>
      <c r="J27">
        <v>101</v>
      </c>
      <c r="K27">
        <v>10</v>
      </c>
    </row>
    <row r="28" spans="1:11" x14ac:dyDescent="0.25">
      <c r="A28" s="2">
        <v>107</v>
      </c>
      <c r="B28" t="s">
        <v>85</v>
      </c>
      <c r="C28" t="s">
        <v>86</v>
      </c>
      <c r="D28" t="s">
        <v>87</v>
      </c>
      <c r="E28" t="s">
        <v>88</v>
      </c>
      <c r="F28" s="1">
        <v>39120</v>
      </c>
      <c r="G28" t="s">
        <v>72</v>
      </c>
      <c r="H28">
        <v>4200</v>
      </c>
      <c r="I28" t="s">
        <v>15</v>
      </c>
      <c r="J28">
        <v>103</v>
      </c>
      <c r="K28">
        <v>60</v>
      </c>
    </row>
    <row r="29" spans="1:11" x14ac:dyDescent="0.25">
      <c r="A29" s="2">
        <v>137</v>
      </c>
      <c r="B29" t="s">
        <v>207</v>
      </c>
      <c r="C29" t="s">
        <v>208</v>
      </c>
      <c r="D29" t="s">
        <v>209</v>
      </c>
      <c r="E29" t="s">
        <v>210</v>
      </c>
      <c r="F29" s="1">
        <v>37816</v>
      </c>
      <c r="G29" t="s">
        <v>165</v>
      </c>
      <c r="H29">
        <v>3600</v>
      </c>
      <c r="I29" t="s">
        <v>15</v>
      </c>
      <c r="J29">
        <v>123</v>
      </c>
      <c r="K29">
        <v>50</v>
      </c>
    </row>
    <row r="30" spans="1:11" x14ac:dyDescent="0.25">
      <c r="A30" s="2">
        <v>129</v>
      </c>
      <c r="B30" t="s">
        <v>177</v>
      </c>
      <c r="C30" t="s">
        <v>178</v>
      </c>
      <c r="D30" t="s">
        <v>179</v>
      </c>
      <c r="E30" t="s">
        <v>180</v>
      </c>
      <c r="F30" s="1">
        <v>38584</v>
      </c>
      <c r="G30" t="s">
        <v>165</v>
      </c>
      <c r="H30">
        <v>3300</v>
      </c>
      <c r="I30" t="s">
        <v>15</v>
      </c>
      <c r="J30">
        <v>121</v>
      </c>
      <c r="K30">
        <v>50</v>
      </c>
    </row>
    <row r="31" spans="1:11" x14ac:dyDescent="0.25">
      <c r="A31" s="2">
        <v>133</v>
      </c>
      <c r="B31" t="s">
        <v>192</v>
      </c>
      <c r="C31" t="s">
        <v>193</v>
      </c>
      <c r="D31" t="s">
        <v>194</v>
      </c>
      <c r="E31" t="s">
        <v>195</v>
      </c>
      <c r="F31" s="1">
        <v>38152</v>
      </c>
      <c r="G31" t="s">
        <v>165</v>
      </c>
      <c r="H31">
        <v>3300</v>
      </c>
      <c r="I31" t="s">
        <v>15</v>
      </c>
      <c r="J31">
        <v>122</v>
      </c>
      <c r="K31">
        <v>50</v>
      </c>
    </row>
    <row r="32" spans="1:11" x14ac:dyDescent="0.25">
      <c r="A32" s="2">
        <v>125</v>
      </c>
      <c r="B32" t="s">
        <v>161</v>
      </c>
      <c r="C32" t="s">
        <v>162</v>
      </c>
      <c r="D32" t="s">
        <v>163</v>
      </c>
      <c r="E32" t="s">
        <v>164</v>
      </c>
      <c r="F32" s="1">
        <v>38549</v>
      </c>
      <c r="G32" t="s">
        <v>165</v>
      </c>
      <c r="H32">
        <v>3200</v>
      </c>
      <c r="I32" t="s">
        <v>15</v>
      </c>
      <c r="J32">
        <v>120</v>
      </c>
      <c r="K32">
        <v>50</v>
      </c>
    </row>
    <row r="33" spans="1:11" x14ac:dyDescent="0.25">
      <c r="A33" s="2">
        <v>138</v>
      </c>
      <c r="B33" t="s">
        <v>211</v>
      </c>
      <c r="C33" t="s">
        <v>212</v>
      </c>
      <c r="D33" t="s">
        <v>213</v>
      </c>
      <c r="E33" t="s">
        <v>214</v>
      </c>
      <c r="F33" s="1">
        <v>38651</v>
      </c>
      <c r="G33" t="s">
        <v>165</v>
      </c>
      <c r="H33">
        <v>3200</v>
      </c>
      <c r="I33" t="s">
        <v>15</v>
      </c>
      <c r="J33">
        <v>123</v>
      </c>
      <c r="K33">
        <v>50</v>
      </c>
    </row>
    <row r="34" spans="1:11" x14ac:dyDescent="0.25">
      <c r="A34" s="2">
        <v>115</v>
      </c>
      <c r="B34" t="s">
        <v>68</v>
      </c>
      <c r="C34" t="s">
        <v>120</v>
      </c>
      <c r="D34" t="s">
        <v>121</v>
      </c>
      <c r="E34" t="s">
        <v>122</v>
      </c>
      <c r="F34" s="1">
        <v>37759</v>
      </c>
      <c r="G34" t="s">
        <v>123</v>
      </c>
      <c r="H34">
        <v>3100</v>
      </c>
      <c r="I34" t="s">
        <v>15</v>
      </c>
      <c r="J34">
        <v>114</v>
      </c>
      <c r="K34">
        <v>30</v>
      </c>
    </row>
    <row r="35" spans="1:11" x14ac:dyDescent="0.25">
      <c r="A35" s="2">
        <v>116</v>
      </c>
      <c r="B35" t="s">
        <v>124</v>
      </c>
      <c r="C35" t="s">
        <v>125</v>
      </c>
      <c r="D35" t="s">
        <v>126</v>
      </c>
      <c r="E35" t="s">
        <v>127</v>
      </c>
      <c r="F35" s="1">
        <v>38710</v>
      </c>
      <c r="G35" t="s">
        <v>123</v>
      </c>
      <c r="H35">
        <v>2900</v>
      </c>
      <c r="I35" t="s">
        <v>15</v>
      </c>
      <c r="J35">
        <v>114</v>
      </c>
      <c r="K35">
        <v>30</v>
      </c>
    </row>
    <row r="36" spans="1:11" x14ac:dyDescent="0.25">
      <c r="A36" s="2">
        <v>134</v>
      </c>
      <c r="B36" t="s">
        <v>24</v>
      </c>
      <c r="C36" t="s">
        <v>196</v>
      </c>
      <c r="D36" t="s">
        <v>197</v>
      </c>
      <c r="E36" t="s">
        <v>198</v>
      </c>
      <c r="F36" s="1">
        <v>38955</v>
      </c>
      <c r="G36" t="s">
        <v>165</v>
      </c>
      <c r="H36">
        <v>2900</v>
      </c>
      <c r="I36" t="s">
        <v>15</v>
      </c>
      <c r="J36">
        <v>122</v>
      </c>
      <c r="K36">
        <v>50</v>
      </c>
    </row>
    <row r="37" spans="1:11" x14ac:dyDescent="0.25">
      <c r="A37" s="2">
        <v>117</v>
      </c>
      <c r="B37" t="s">
        <v>128</v>
      </c>
      <c r="C37" t="s">
        <v>129</v>
      </c>
      <c r="D37" t="s">
        <v>130</v>
      </c>
      <c r="E37" t="s">
        <v>131</v>
      </c>
      <c r="F37" s="1">
        <v>38557</v>
      </c>
      <c r="G37" t="s">
        <v>123</v>
      </c>
      <c r="H37">
        <v>2800</v>
      </c>
      <c r="I37" t="s">
        <v>15</v>
      </c>
      <c r="J37">
        <v>114</v>
      </c>
      <c r="K37">
        <v>30</v>
      </c>
    </row>
    <row r="38" spans="1:11" x14ac:dyDescent="0.25">
      <c r="A38" s="2">
        <v>130</v>
      </c>
      <c r="B38" t="s">
        <v>181</v>
      </c>
      <c r="C38" t="s">
        <v>182</v>
      </c>
      <c r="D38" t="s">
        <v>183</v>
      </c>
      <c r="E38" t="s">
        <v>184</v>
      </c>
      <c r="F38" s="1">
        <v>38655</v>
      </c>
      <c r="G38" t="s">
        <v>165</v>
      </c>
      <c r="H38">
        <v>2800</v>
      </c>
      <c r="I38" t="s">
        <v>15</v>
      </c>
      <c r="J38">
        <v>121</v>
      </c>
      <c r="K38">
        <v>50</v>
      </c>
    </row>
    <row r="39" spans="1:11" x14ac:dyDescent="0.25">
      <c r="A39" s="2">
        <v>126</v>
      </c>
      <c r="B39" t="s">
        <v>166</v>
      </c>
      <c r="C39" t="s">
        <v>167</v>
      </c>
      <c r="D39" t="s">
        <v>168</v>
      </c>
      <c r="E39" t="s">
        <v>169</v>
      </c>
      <c r="F39" s="1">
        <v>38988</v>
      </c>
      <c r="G39" t="s">
        <v>165</v>
      </c>
      <c r="H39">
        <v>2700</v>
      </c>
      <c r="I39" t="s">
        <v>15</v>
      </c>
      <c r="J39">
        <v>120</v>
      </c>
      <c r="K39">
        <v>50</v>
      </c>
    </row>
    <row r="40" spans="1:11" x14ac:dyDescent="0.25">
      <c r="A40" s="2">
        <v>139</v>
      </c>
      <c r="B40" t="s">
        <v>99</v>
      </c>
      <c r="C40" t="s">
        <v>215</v>
      </c>
      <c r="D40" t="s">
        <v>216</v>
      </c>
      <c r="E40" t="s">
        <v>217</v>
      </c>
      <c r="F40" s="1">
        <v>38760</v>
      </c>
      <c r="G40" t="s">
        <v>165</v>
      </c>
      <c r="H40">
        <v>2700</v>
      </c>
      <c r="I40" t="s">
        <v>15</v>
      </c>
      <c r="J40">
        <v>123</v>
      </c>
      <c r="K40">
        <v>50</v>
      </c>
    </row>
    <row r="41" spans="1:11" x14ac:dyDescent="0.25">
      <c r="A41" s="2">
        <v>198</v>
      </c>
      <c r="B41" t="s">
        <v>292</v>
      </c>
      <c r="C41" t="s">
        <v>11</v>
      </c>
      <c r="D41" t="s">
        <v>12</v>
      </c>
      <c r="E41" t="s">
        <v>13</v>
      </c>
      <c r="F41" s="1">
        <v>39254</v>
      </c>
      <c r="G41" t="s">
        <v>14</v>
      </c>
      <c r="H41">
        <v>2600</v>
      </c>
      <c r="I41" t="s">
        <v>15</v>
      </c>
      <c r="J41">
        <v>124</v>
      </c>
      <c r="K41">
        <v>50</v>
      </c>
    </row>
    <row r="42" spans="1:11" x14ac:dyDescent="0.25">
      <c r="A42" s="2">
        <v>199</v>
      </c>
      <c r="B42" t="s">
        <v>291</v>
      </c>
      <c r="C42" t="s">
        <v>16</v>
      </c>
      <c r="D42" t="s">
        <v>17</v>
      </c>
      <c r="E42" t="s">
        <v>18</v>
      </c>
      <c r="F42" s="1">
        <v>39460</v>
      </c>
      <c r="G42" t="s">
        <v>14</v>
      </c>
      <c r="H42">
        <v>2600</v>
      </c>
      <c r="I42" t="s">
        <v>15</v>
      </c>
      <c r="J42">
        <v>124</v>
      </c>
      <c r="K42">
        <v>50</v>
      </c>
    </row>
    <row r="43" spans="1:11" x14ac:dyDescent="0.25">
      <c r="A43" s="2">
        <v>118</v>
      </c>
      <c r="B43" t="s">
        <v>132</v>
      </c>
      <c r="C43" t="s">
        <v>133</v>
      </c>
      <c r="D43" t="s">
        <v>134</v>
      </c>
      <c r="E43" t="s">
        <v>135</v>
      </c>
      <c r="F43" s="1">
        <v>39036</v>
      </c>
      <c r="G43" t="s">
        <v>123</v>
      </c>
      <c r="H43">
        <v>2600</v>
      </c>
      <c r="I43" t="s">
        <v>15</v>
      </c>
      <c r="J43">
        <v>114</v>
      </c>
      <c r="K43">
        <v>30</v>
      </c>
    </row>
    <row r="44" spans="1:11" x14ac:dyDescent="0.25">
      <c r="A44" s="2">
        <v>119</v>
      </c>
      <c r="B44" t="s">
        <v>136</v>
      </c>
      <c r="C44" t="s">
        <v>137</v>
      </c>
      <c r="D44" t="s">
        <v>138</v>
      </c>
      <c r="E44" t="s">
        <v>139</v>
      </c>
      <c r="F44" s="1">
        <v>39304</v>
      </c>
      <c r="G44" t="s">
        <v>123</v>
      </c>
      <c r="H44">
        <v>2500</v>
      </c>
      <c r="I44" t="s">
        <v>15</v>
      </c>
      <c r="J44">
        <v>114</v>
      </c>
      <c r="K44">
        <v>30</v>
      </c>
    </row>
    <row r="45" spans="1:11" x14ac:dyDescent="0.25">
      <c r="A45" s="2">
        <v>131</v>
      </c>
      <c r="B45" t="s">
        <v>170</v>
      </c>
      <c r="C45" t="s">
        <v>185</v>
      </c>
      <c r="D45" t="s">
        <v>186</v>
      </c>
      <c r="E45" t="s">
        <v>187</v>
      </c>
      <c r="F45" s="1">
        <v>38399</v>
      </c>
      <c r="G45" t="s">
        <v>165</v>
      </c>
      <c r="H45">
        <v>2500</v>
      </c>
      <c r="I45" t="s">
        <v>15</v>
      </c>
      <c r="J45">
        <v>121</v>
      </c>
      <c r="K45">
        <v>50</v>
      </c>
    </row>
    <row r="46" spans="1:11" x14ac:dyDescent="0.25">
      <c r="A46" s="2">
        <v>140</v>
      </c>
      <c r="B46" t="s">
        <v>218</v>
      </c>
      <c r="C46" t="s">
        <v>219</v>
      </c>
      <c r="D46" t="s">
        <v>220</v>
      </c>
      <c r="E46" t="s">
        <v>221</v>
      </c>
      <c r="F46" s="1">
        <v>38813</v>
      </c>
      <c r="G46" t="s">
        <v>165</v>
      </c>
      <c r="H46">
        <v>2500</v>
      </c>
      <c r="I46" t="s">
        <v>15</v>
      </c>
      <c r="J46">
        <v>123</v>
      </c>
      <c r="K46">
        <v>50</v>
      </c>
    </row>
    <row r="47" spans="1:11" x14ac:dyDescent="0.25">
      <c r="A47" s="2">
        <v>127</v>
      </c>
      <c r="B47" t="s">
        <v>170</v>
      </c>
      <c r="C47" t="s">
        <v>171</v>
      </c>
      <c r="D47" t="s">
        <v>172</v>
      </c>
      <c r="E47" t="s">
        <v>173</v>
      </c>
      <c r="F47" s="1">
        <v>39096</v>
      </c>
      <c r="G47" t="s">
        <v>165</v>
      </c>
      <c r="H47">
        <v>2400</v>
      </c>
      <c r="I47" t="s">
        <v>15</v>
      </c>
      <c r="J47">
        <v>120</v>
      </c>
      <c r="K47">
        <v>50</v>
      </c>
    </row>
    <row r="48" spans="1:11" x14ac:dyDescent="0.25">
      <c r="A48" s="2">
        <v>135</v>
      </c>
      <c r="B48" t="s">
        <v>199</v>
      </c>
      <c r="C48" t="s">
        <v>200</v>
      </c>
      <c r="D48" t="s">
        <v>201</v>
      </c>
      <c r="E48" t="s">
        <v>202</v>
      </c>
      <c r="F48" s="1">
        <v>39428</v>
      </c>
      <c r="G48" t="s">
        <v>165</v>
      </c>
      <c r="H48">
        <v>2400</v>
      </c>
      <c r="I48" t="s">
        <v>15</v>
      </c>
      <c r="J48">
        <v>122</v>
      </c>
      <c r="K48">
        <v>50</v>
      </c>
    </row>
    <row r="49" spans="1:11" x14ac:dyDescent="0.25">
      <c r="A49" s="2">
        <v>128</v>
      </c>
      <c r="B49" t="s">
        <v>54</v>
      </c>
      <c r="C49" t="s">
        <v>174</v>
      </c>
      <c r="D49" t="s">
        <v>175</v>
      </c>
      <c r="E49" t="s">
        <v>176</v>
      </c>
      <c r="F49" s="1">
        <v>39515</v>
      </c>
      <c r="G49" t="s">
        <v>165</v>
      </c>
      <c r="H49">
        <v>2200</v>
      </c>
      <c r="I49" t="s">
        <v>15</v>
      </c>
      <c r="J49">
        <v>120</v>
      </c>
      <c r="K49">
        <v>50</v>
      </c>
    </row>
    <row r="50" spans="1:11" x14ac:dyDescent="0.25">
      <c r="A50" s="2">
        <v>136</v>
      </c>
      <c r="B50" t="s">
        <v>203</v>
      </c>
      <c r="C50" t="s">
        <v>204</v>
      </c>
      <c r="D50" t="s">
        <v>205</v>
      </c>
      <c r="E50" t="s">
        <v>206</v>
      </c>
      <c r="F50" s="1">
        <v>39484</v>
      </c>
      <c r="G50" t="s">
        <v>165</v>
      </c>
      <c r="H50">
        <v>2200</v>
      </c>
      <c r="I50" t="s">
        <v>15</v>
      </c>
      <c r="J50">
        <v>122</v>
      </c>
      <c r="K50">
        <v>50</v>
      </c>
    </row>
    <row r="51" spans="1:11" x14ac:dyDescent="0.25">
      <c r="A51" s="2">
        <v>132</v>
      </c>
      <c r="B51" t="s">
        <v>188</v>
      </c>
      <c r="C51" t="s">
        <v>189</v>
      </c>
      <c r="D51" t="s">
        <v>190</v>
      </c>
      <c r="E51" t="s">
        <v>191</v>
      </c>
      <c r="F51" s="1">
        <v>39182</v>
      </c>
      <c r="G51" t="s">
        <v>165</v>
      </c>
      <c r="H51">
        <v>2100</v>
      </c>
      <c r="I51" t="s">
        <v>15</v>
      </c>
      <c r="J51">
        <v>121</v>
      </c>
      <c r="K51">
        <v>50</v>
      </c>
    </row>
  </sheetData>
  <autoFilter ref="H1:H51" xr:uid="{00000000-0009-0000-0000-000002000000}"/>
  <sortState xmlns:xlrd2="http://schemas.microsoft.com/office/spreadsheetml/2017/richdata2" ref="A2:K51">
    <sortCondition descending="1" ref="H1"/>
  </sortState>
  <customSheetViews>
    <customSheetView guid="{17B4BC62-A64E-4181-AF33-17F939339C15}" showAutoFilter="1">
      <selection activeCell="K9" sqref="K9"/>
      <pageMargins left="0.7" right="0.7" top="0.75" bottom="0.75" header="0.3" footer="0.3"/>
      <autoFilter ref="H1:H51" xr:uid="{00000000-0009-0000-0000-000002000000}"/>
    </customSheetView>
  </customSheetViews>
  <conditionalFormatting sqref="D1:D1048576">
    <cfRule type="cellIs" dxfId="4" priority="19" operator="equal">
      <formula>"pfay"</formula>
    </cfRule>
  </conditionalFormatting>
  <conditionalFormatting sqref="H1:H1048576">
    <cfRule type="colorScale" priority="16">
      <colorScale>
        <cfvo type="min"/>
        <cfvo type="max"/>
        <color theme="4" tint="-0.249977111117893"/>
        <color rgb="FFFFEF9C"/>
      </colorScale>
    </cfRule>
    <cfRule type="colorScale" priority="17">
      <colorScale>
        <cfvo type="min"/>
        <cfvo type="num" val="12000"/>
        <cfvo type="max"/>
        <color rgb="FFF8696B"/>
        <color rgb="FFFFEB84"/>
        <color rgb="FF63BE7B"/>
      </colorScale>
    </cfRule>
  </conditionalFormatting>
  <conditionalFormatting sqref="A1:A1048576">
    <cfRule type="expression" dxfId="3" priority="1">
      <formula>AND(D1="sking",G1="ad_pres")</formula>
    </cfRule>
    <cfRule type="expression" dxfId="2" priority="6">
      <formula>ISNUMBER(A1)</formula>
    </cfRule>
  </conditionalFormatting>
  <conditionalFormatting sqref="K1:K1048576">
    <cfRule type="expression" dxfId="1" priority="5">
      <formula>ISODD(K1)</formula>
    </cfRule>
  </conditionalFormatting>
  <conditionalFormatting sqref="J1:J1048576">
    <cfRule type="expression" dxfId="0" priority="4">
      <formula>J1&gt;100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E991C70C-A014-48E1-9842-7524DD3F7C17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Arrows" iconId="1"/>
              <x14:cfIcon iconSet="3ArrowsGray" iconId="2"/>
            </x14:iconSet>
          </x14:cfRule>
          <xm:sqref>H1:H1048576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3"/>
  <sheetViews>
    <sheetView tabSelected="1" workbookViewId="0">
      <selection activeCell="I19" sqref="I19"/>
    </sheetView>
  </sheetViews>
  <sheetFormatPr defaultRowHeight="15" x14ac:dyDescent="0.25"/>
  <sheetData>
    <row r="1" spans="1:9" x14ac:dyDescent="0.25">
      <c r="A1" s="7" t="s">
        <v>245</v>
      </c>
      <c r="B1" s="7" t="s">
        <v>246</v>
      </c>
      <c r="C1" s="7" t="s">
        <v>247</v>
      </c>
      <c r="D1" s="7" t="s">
        <v>248</v>
      </c>
      <c r="F1" s="8" t="s">
        <v>244</v>
      </c>
    </row>
    <row r="2" spans="1:9" x14ac:dyDescent="0.25">
      <c r="A2" s="7">
        <v>10247</v>
      </c>
      <c r="B2" s="7" t="s">
        <v>249</v>
      </c>
      <c r="C2" s="7" t="s">
        <v>255</v>
      </c>
      <c r="D2" s="7">
        <v>12</v>
      </c>
      <c r="F2">
        <f>INDEX(A1:D7,3,4)</f>
        <v>10</v>
      </c>
      <c r="G2" t="str">
        <f>INDEX(A1:D7,4,3)</f>
        <v>$ 14.80</v>
      </c>
      <c r="I2" t="str">
        <f>INDEX(A1:D6,1,1)</f>
        <v>Order Id</v>
      </c>
    </row>
    <row r="3" spans="1:9" x14ac:dyDescent="0.25">
      <c r="A3" s="7">
        <v>10249</v>
      </c>
      <c r="B3" s="7" t="s">
        <v>254</v>
      </c>
      <c r="C3" s="7" t="s">
        <v>256</v>
      </c>
      <c r="D3" s="7">
        <v>10</v>
      </c>
      <c r="F3">
        <f>INDEX(A1:D7,5,4)</f>
        <v>9</v>
      </c>
      <c r="I3" t="str">
        <f>INDEX(A1:D7,1,2)</f>
        <v>Product</v>
      </c>
    </row>
    <row r="4" spans="1:9" x14ac:dyDescent="0.25">
      <c r="A4" s="7">
        <v>10250</v>
      </c>
      <c r="B4" s="7" t="s">
        <v>251</v>
      </c>
      <c r="C4" s="7" t="s">
        <v>257</v>
      </c>
      <c r="D4" s="7">
        <v>5</v>
      </c>
      <c r="F4" s="8" t="s">
        <v>261</v>
      </c>
    </row>
    <row r="5" spans="1:9" x14ac:dyDescent="0.25">
      <c r="A5" s="7">
        <v>10251</v>
      </c>
      <c r="B5" s="7" t="s">
        <v>252</v>
      </c>
      <c r="C5" s="7" t="s">
        <v>258</v>
      </c>
      <c r="D5" s="7">
        <v>9</v>
      </c>
      <c r="F5">
        <f ca="1">OFFSET(A1,2,3)</f>
        <v>10</v>
      </c>
      <c r="I5" t="str">
        <f ca="1">OFFSET(A1,2,1,)</f>
        <v>Mangoes</v>
      </c>
    </row>
    <row r="6" spans="1:9" x14ac:dyDescent="0.25">
      <c r="A6" s="7">
        <v>10252</v>
      </c>
      <c r="B6" s="7" t="s">
        <v>253</v>
      </c>
      <c r="C6" s="7" t="s">
        <v>259</v>
      </c>
      <c r="D6" s="7">
        <v>40</v>
      </c>
      <c r="F6">
        <f ca="1">OFFSET(A1,1,3)</f>
        <v>12</v>
      </c>
      <c r="G6" t="str">
        <f ca="1">OFFSET(A1,2,2)</f>
        <v>$ 9.80</v>
      </c>
      <c r="I6" t="str">
        <f ca="1">OFFSET(A3,1,2)</f>
        <v>$ 14.80</v>
      </c>
    </row>
    <row r="7" spans="1:9" x14ac:dyDescent="0.25">
      <c r="A7" s="7">
        <v>10253</v>
      </c>
      <c r="B7" s="7" t="s">
        <v>250</v>
      </c>
      <c r="C7" s="7" t="s">
        <v>260</v>
      </c>
      <c r="D7" s="7">
        <v>35</v>
      </c>
      <c r="F7" t="str">
        <f ca="1">OFFSET(A6,1,1)</f>
        <v>Oranges</v>
      </c>
    </row>
    <row r="8" spans="1:9" x14ac:dyDescent="0.25">
      <c r="F8" s="8" t="s">
        <v>278</v>
      </c>
      <c r="G8">
        <f>MATCH("Oranges",B:B,0)</f>
        <v>7</v>
      </c>
      <c r="H8">
        <f>MATCH("Pears",B:B,0)</f>
        <v>5</v>
      </c>
      <c r="I8" t="e">
        <f>MATCH(H8,A1:D7,0)</f>
        <v>#N/A</v>
      </c>
    </row>
    <row r="9" spans="1:9" x14ac:dyDescent="0.25">
      <c r="G9">
        <f>MATCH("Quantity",1:1,0)</f>
        <v>4</v>
      </c>
      <c r="I9">
        <f>MATCH(A2,A2:D2,0)</f>
        <v>1</v>
      </c>
    </row>
    <row r="10" spans="1:9" x14ac:dyDescent="0.25">
      <c r="F10">
        <f>MATCH(B7,B1:B7,0)</f>
        <v>7</v>
      </c>
      <c r="H10">
        <f>MATCH("Apples",B:B,0)</f>
        <v>2</v>
      </c>
    </row>
    <row r="11" spans="1:9" x14ac:dyDescent="0.25">
      <c r="D11">
        <f ca="1">OFFSET(A1,2,3)</f>
        <v>10</v>
      </c>
      <c r="F11" s="44">
        <f>INDEX(A1:D7,7,4)</f>
        <v>35</v>
      </c>
      <c r="H11">
        <f>MATCH(D2,D2:D7,0)</f>
        <v>1</v>
      </c>
    </row>
    <row r="12" spans="1:9" x14ac:dyDescent="0.25">
      <c r="D12">
        <f ca="1">OFFSET(A1,1,3)</f>
        <v>12</v>
      </c>
      <c r="F12" s="44" t="str">
        <f>INDEX(A1:D7,2,3)</f>
        <v>$ 14.00</v>
      </c>
    </row>
    <row r="13" spans="1:9" x14ac:dyDescent="0.25">
      <c r="F13" s="44">
        <f>INDEX(A1:D7,6,1)</f>
        <v>10252</v>
      </c>
    </row>
  </sheetData>
  <customSheetViews>
    <customSheetView guid="{17B4BC62-A64E-4181-AF33-17F939339C15}">
      <selection activeCell="F5" sqref="F5"/>
      <pageMargins left="0.7" right="0.7" top="0.75" bottom="0.75" header="0.3" footer="0.3"/>
      <pageSetup paperSize="9" orientation="portrait" horizontalDpi="300" verticalDpi="0" copies="0" r:id="rId1"/>
    </customSheetView>
  </customSheetViews>
  <pageMargins left="0.7" right="0.7" top="0.75" bottom="0.75" header="0.3" footer="0.3"/>
  <pageSetup paperSize="9" orientation="portrait" horizontalDpi="300" verticalDpi="0" copies="0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06"/>
  <sheetViews>
    <sheetView tabSelected="1" topLeftCell="A55" zoomScaleNormal="100" workbookViewId="0">
      <selection activeCell="I19" sqref="I19"/>
    </sheetView>
  </sheetViews>
  <sheetFormatPr defaultRowHeight="15" x14ac:dyDescent="0.25"/>
  <cols>
    <col min="4" max="4" width="16" bestFit="1" customWidth="1"/>
    <col min="6" max="6" width="9.85546875" bestFit="1" customWidth="1"/>
    <col min="7" max="7" width="10.28515625" bestFit="1" customWidth="1"/>
  </cols>
  <sheetData>
    <row r="1" spans="1:12" x14ac:dyDescent="0.25">
      <c r="A1" s="10" t="s">
        <v>297</v>
      </c>
      <c r="B1" s="10" t="s">
        <v>298</v>
      </c>
      <c r="C1" s="10" t="s">
        <v>299</v>
      </c>
      <c r="D1" s="7"/>
      <c r="E1" s="7"/>
      <c r="F1" s="11" t="s">
        <v>309</v>
      </c>
      <c r="G1" s="11" t="s">
        <v>310</v>
      </c>
      <c r="H1" s="11" t="s">
        <v>311</v>
      </c>
      <c r="I1" s="11" t="s">
        <v>312</v>
      </c>
      <c r="J1" s="12" t="s">
        <v>310</v>
      </c>
      <c r="K1">
        <v>500</v>
      </c>
      <c r="L1" s="13" t="s">
        <v>313</v>
      </c>
    </row>
    <row r="2" spans="1:12" x14ac:dyDescent="0.25">
      <c r="A2" s="7" t="s">
        <v>300</v>
      </c>
      <c r="B2" s="7">
        <v>45</v>
      </c>
      <c r="C2" s="7" t="b">
        <f>NOT(B2&gt;35)</f>
        <v>0</v>
      </c>
      <c r="D2" s="7" t="str">
        <f>IF(NOT(B2&gt;35),"Failed","pass")</f>
        <v>pass</v>
      </c>
      <c r="E2" s="7" t="b">
        <f>NOT(B2&gt;45)</f>
        <v>1</v>
      </c>
      <c r="F2" s="7">
        <v>1</v>
      </c>
      <c r="G2" s="7">
        <v>512</v>
      </c>
      <c r="H2" s="7">
        <v>4</v>
      </c>
      <c r="I2" s="7" t="b">
        <f>_xlfn.XOR(G2&gt;=500,H2&gt;6)</f>
        <v>1</v>
      </c>
    </row>
    <row r="3" spans="1:12" x14ac:dyDescent="0.25">
      <c r="A3" s="7" t="s">
        <v>301</v>
      </c>
      <c r="B3" s="7">
        <v>50</v>
      </c>
      <c r="C3" s="7" t="b">
        <f t="shared" ref="C3:C10" si="0">NOT(B3&gt;35)</f>
        <v>0</v>
      </c>
      <c r="D3" s="7" t="str">
        <f t="shared" ref="D3:D10" si="1">IF(NOT(B3&gt;35),"Failed","pass")</f>
        <v>pass</v>
      </c>
      <c r="E3" s="7" t="b">
        <f t="shared" ref="E3:E10" si="2">NOT(B3&gt;45)</f>
        <v>0</v>
      </c>
      <c r="F3" s="7">
        <v>2</v>
      </c>
      <c r="G3" s="7">
        <v>1000</v>
      </c>
      <c r="H3" s="7">
        <v>6</v>
      </c>
      <c r="I3" s="7" t="b">
        <f t="shared" ref="I3:I11" si="3">_xlfn.XOR(G3&gt;=500,H3&gt;6)</f>
        <v>1</v>
      </c>
    </row>
    <row r="4" spans="1:12" x14ac:dyDescent="0.25">
      <c r="A4" s="7" t="s">
        <v>302</v>
      </c>
      <c r="B4" s="7">
        <v>28</v>
      </c>
      <c r="C4" s="7" t="b">
        <f>NOT(B4&gt;35)</f>
        <v>1</v>
      </c>
      <c r="D4" s="7" t="str">
        <f t="shared" si="1"/>
        <v>Failed</v>
      </c>
      <c r="E4" s="7" t="b">
        <f t="shared" si="2"/>
        <v>1</v>
      </c>
      <c r="F4" s="7">
        <v>3</v>
      </c>
      <c r="G4" s="7">
        <v>512</v>
      </c>
      <c r="H4" s="7">
        <v>5</v>
      </c>
      <c r="I4" s="7" t="b">
        <f t="shared" si="3"/>
        <v>1</v>
      </c>
    </row>
    <row r="5" spans="1:12" x14ac:dyDescent="0.25">
      <c r="A5" s="7" t="s">
        <v>303</v>
      </c>
      <c r="B5" s="7">
        <v>76</v>
      </c>
      <c r="C5" s="7" t="b">
        <f t="shared" si="0"/>
        <v>0</v>
      </c>
      <c r="D5" s="7" t="str">
        <f t="shared" si="1"/>
        <v>pass</v>
      </c>
      <c r="E5" s="7" t="b">
        <f t="shared" si="2"/>
        <v>0</v>
      </c>
      <c r="F5" s="7">
        <v>4</v>
      </c>
      <c r="G5" s="7">
        <v>1000</v>
      </c>
      <c r="H5" s="7">
        <v>8</v>
      </c>
      <c r="I5" s="7" t="b">
        <f t="shared" si="3"/>
        <v>0</v>
      </c>
    </row>
    <row r="6" spans="1:12" x14ac:dyDescent="0.25">
      <c r="A6" s="7" t="s">
        <v>304</v>
      </c>
      <c r="B6" s="7">
        <v>30</v>
      </c>
      <c r="C6" s="7" t="b">
        <f t="shared" si="0"/>
        <v>1</v>
      </c>
      <c r="D6" s="7" t="str">
        <f t="shared" si="1"/>
        <v>Failed</v>
      </c>
      <c r="E6" s="7" t="b">
        <f t="shared" si="2"/>
        <v>1</v>
      </c>
      <c r="F6" s="7">
        <v>5</v>
      </c>
      <c r="G6" s="7">
        <v>500</v>
      </c>
      <c r="H6" s="7">
        <v>6</v>
      </c>
      <c r="I6" s="7" t="b">
        <f t="shared" si="3"/>
        <v>1</v>
      </c>
    </row>
    <row r="7" spans="1:12" x14ac:dyDescent="0.25">
      <c r="A7" s="7" t="s">
        <v>305</v>
      </c>
      <c r="B7" s="7">
        <v>58</v>
      </c>
      <c r="C7" s="7" t="b">
        <f t="shared" si="0"/>
        <v>0</v>
      </c>
      <c r="D7" s="7" t="str">
        <f t="shared" si="1"/>
        <v>pass</v>
      </c>
      <c r="E7" s="7" t="b">
        <f t="shared" si="2"/>
        <v>0</v>
      </c>
      <c r="F7" s="7">
        <v>6</v>
      </c>
      <c r="G7" s="7">
        <v>360</v>
      </c>
      <c r="H7" s="7">
        <v>8</v>
      </c>
      <c r="I7" s="7" t="b">
        <f t="shared" si="3"/>
        <v>1</v>
      </c>
    </row>
    <row r="8" spans="1:12" x14ac:dyDescent="0.25">
      <c r="A8" s="7" t="s">
        <v>306</v>
      </c>
      <c r="B8" s="7">
        <v>32</v>
      </c>
      <c r="C8" s="7" t="b">
        <f t="shared" si="0"/>
        <v>1</v>
      </c>
      <c r="D8" s="7" t="str">
        <f t="shared" si="1"/>
        <v>Failed</v>
      </c>
      <c r="E8" s="7" t="b">
        <f t="shared" si="2"/>
        <v>1</v>
      </c>
      <c r="F8" s="7">
        <v>7</v>
      </c>
      <c r="G8" s="7">
        <v>1000</v>
      </c>
      <c r="H8" s="7">
        <v>16</v>
      </c>
      <c r="I8" s="7" t="b">
        <f t="shared" si="3"/>
        <v>0</v>
      </c>
    </row>
    <row r="9" spans="1:12" x14ac:dyDescent="0.25">
      <c r="A9" s="7" t="s">
        <v>307</v>
      </c>
      <c r="B9" s="7">
        <v>64</v>
      </c>
      <c r="C9" s="7" t="b">
        <f t="shared" si="0"/>
        <v>0</v>
      </c>
      <c r="D9" s="7" t="str">
        <f t="shared" si="1"/>
        <v>pass</v>
      </c>
      <c r="E9" s="7" t="b">
        <f t="shared" si="2"/>
        <v>0</v>
      </c>
      <c r="F9" s="7">
        <v>8</v>
      </c>
      <c r="G9" s="7">
        <v>512</v>
      </c>
      <c r="H9" s="7">
        <v>6</v>
      </c>
      <c r="I9" s="7" t="b">
        <f t="shared" si="3"/>
        <v>1</v>
      </c>
    </row>
    <row r="10" spans="1:12" x14ac:dyDescent="0.25">
      <c r="A10" s="7" t="s">
        <v>308</v>
      </c>
      <c r="B10" s="7">
        <v>59</v>
      </c>
      <c r="C10" s="7" t="b">
        <f t="shared" si="0"/>
        <v>0</v>
      </c>
      <c r="D10" s="7" t="str">
        <f t="shared" si="1"/>
        <v>pass</v>
      </c>
      <c r="E10" s="7" t="b">
        <f t="shared" si="2"/>
        <v>0</v>
      </c>
      <c r="F10" s="7">
        <v>9</v>
      </c>
      <c r="G10" s="7">
        <v>128</v>
      </c>
      <c r="H10" s="7">
        <v>4</v>
      </c>
      <c r="I10" s="7" t="b">
        <f t="shared" si="3"/>
        <v>0</v>
      </c>
    </row>
    <row r="11" spans="1:12" x14ac:dyDescent="0.25">
      <c r="E11" s="6"/>
      <c r="F11" s="7">
        <v>10</v>
      </c>
      <c r="G11" s="7">
        <v>512</v>
      </c>
      <c r="H11" s="7">
        <v>8</v>
      </c>
      <c r="I11" s="7" t="b">
        <f t="shared" si="3"/>
        <v>0</v>
      </c>
    </row>
    <row r="13" spans="1:12" x14ac:dyDescent="0.25">
      <c r="A13" s="11" t="s">
        <v>316</v>
      </c>
      <c r="B13" s="11" t="s">
        <v>314</v>
      </c>
      <c r="C13" s="11" t="s">
        <v>315</v>
      </c>
      <c r="D13" s="11" t="s">
        <v>322</v>
      </c>
      <c r="F13" s="16" t="s">
        <v>341</v>
      </c>
      <c r="G13" t="s">
        <v>323</v>
      </c>
      <c r="H13" t="s">
        <v>324</v>
      </c>
    </row>
    <row r="14" spans="1:12" x14ac:dyDescent="0.25">
      <c r="A14" s="14" t="s">
        <v>317</v>
      </c>
      <c r="B14" s="14" t="s">
        <v>318</v>
      </c>
      <c r="C14" s="14">
        <v>21875</v>
      </c>
      <c r="D14" s="14">
        <f>IF(B14="Sales",10000,0)</f>
        <v>0</v>
      </c>
      <c r="E14">
        <f>IF(C14=G14,H14,IF(B14=G15,H15,IF(B14=G16,H16,IF(B14=G17,H17,3000))))</f>
        <v>5000</v>
      </c>
      <c r="F14" s="3">
        <f>IF(B14="Admin",3000,IF(B14="Sales",10000,IF(B14="Marketing",8000,IF(B14="R&amp;D",4000,3000))))</f>
        <v>3000</v>
      </c>
      <c r="G14" t="s">
        <v>262</v>
      </c>
      <c r="H14">
        <v>10000</v>
      </c>
    </row>
    <row r="15" spans="1:12" x14ac:dyDescent="0.25">
      <c r="A15" s="14" t="s">
        <v>319</v>
      </c>
      <c r="B15" s="14" t="s">
        <v>262</v>
      </c>
      <c r="C15" s="14">
        <v>17500</v>
      </c>
      <c r="D15" s="14">
        <f t="shared" ref="D15:D19" si="4">IF(B15="Sales",10000,0)</f>
        <v>10000</v>
      </c>
      <c r="E15">
        <f t="shared" ref="E15:E18" si="5">IF(C15=G15,H15,IF(B15=G16,H16,IF(B15=G17,H17,IF(B15=G18,H18,3000))))</f>
        <v>3000</v>
      </c>
      <c r="F15" s="3">
        <f t="shared" ref="F15:F19" si="6">IF(B15="Admin",3000,IF(B15="Sales",10000,IF(B15="Marketing",8000,IF(B15="R&amp;D",4000,3000))))</f>
        <v>10000</v>
      </c>
      <c r="G15" t="s">
        <v>318</v>
      </c>
      <c r="H15">
        <v>5000</v>
      </c>
    </row>
    <row r="16" spans="1:12" x14ac:dyDescent="0.25">
      <c r="A16" s="14" t="s">
        <v>320</v>
      </c>
      <c r="B16" s="14" t="s">
        <v>325</v>
      </c>
      <c r="C16" s="14">
        <v>7000</v>
      </c>
      <c r="D16" s="14">
        <f t="shared" si="4"/>
        <v>0</v>
      </c>
      <c r="E16">
        <f t="shared" si="5"/>
        <v>3000</v>
      </c>
      <c r="F16" s="3">
        <f t="shared" si="6"/>
        <v>8000</v>
      </c>
      <c r="G16" t="s">
        <v>325</v>
      </c>
      <c r="H16">
        <v>8000</v>
      </c>
    </row>
    <row r="17" spans="1:15" x14ac:dyDescent="0.25">
      <c r="A17" s="14" t="s">
        <v>321</v>
      </c>
      <c r="B17" s="14" t="s">
        <v>262</v>
      </c>
      <c r="C17" s="14">
        <v>34000</v>
      </c>
      <c r="D17" s="14">
        <f t="shared" si="4"/>
        <v>10000</v>
      </c>
      <c r="E17">
        <f t="shared" si="5"/>
        <v>3000</v>
      </c>
      <c r="F17" s="3">
        <f t="shared" si="6"/>
        <v>10000</v>
      </c>
      <c r="G17" t="s">
        <v>326</v>
      </c>
      <c r="H17">
        <v>4000</v>
      </c>
    </row>
    <row r="18" spans="1:15" x14ac:dyDescent="0.25">
      <c r="A18" s="14" t="s">
        <v>339</v>
      </c>
      <c r="B18" s="14" t="s">
        <v>326</v>
      </c>
      <c r="C18" s="14">
        <v>4000</v>
      </c>
      <c r="D18" s="14">
        <f t="shared" si="4"/>
        <v>0</v>
      </c>
      <c r="E18">
        <f t="shared" si="5"/>
        <v>3000</v>
      </c>
      <c r="F18" s="3">
        <f t="shared" si="6"/>
        <v>4000</v>
      </c>
      <c r="G18" t="s">
        <v>327</v>
      </c>
      <c r="H18">
        <v>3000</v>
      </c>
    </row>
    <row r="19" spans="1:15" x14ac:dyDescent="0.25">
      <c r="A19" s="14" t="s">
        <v>340</v>
      </c>
      <c r="B19" s="14" t="s">
        <v>327</v>
      </c>
      <c r="C19" s="14">
        <v>3000</v>
      </c>
      <c r="D19" s="14">
        <f t="shared" si="4"/>
        <v>0</v>
      </c>
      <c r="E19">
        <f>IF(C19=G19,H19,IF(B19=G20,H20,IF(B19=G21,H21,IF(B19=G23,H23,3000))))</f>
        <v>3000</v>
      </c>
      <c r="F19" s="3">
        <f t="shared" si="6"/>
        <v>3000</v>
      </c>
    </row>
    <row r="21" spans="1:15" x14ac:dyDescent="0.25">
      <c r="A21" s="17"/>
      <c r="B21" s="13" t="s">
        <v>342</v>
      </c>
      <c r="C21" s="17"/>
      <c r="D21" s="17"/>
      <c r="E21" s="17"/>
      <c r="F21" s="17"/>
      <c r="G21" s="17"/>
      <c r="H21" s="17"/>
    </row>
    <row r="22" spans="1:15" x14ac:dyDescent="0.25">
      <c r="A22" s="11" t="s">
        <v>345</v>
      </c>
      <c r="B22" s="11" t="s">
        <v>343</v>
      </c>
      <c r="C22" s="11" t="s">
        <v>344</v>
      </c>
      <c r="D22" s="11" t="s">
        <v>346</v>
      </c>
      <c r="E22" s="11" t="s">
        <v>347</v>
      </c>
      <c r="F22" s="11" t="s">
        <v>348</v>
      </c>
      <c r="G22" s="11" t="s">
        <v>349</v>
      </c>
      <c r="H22" s="11" t="s">
        <v>350</v>
      </c>
    </row>
    <row r="23" spans="1:15" x14ac:dyDescent="0.25">
      <c r="A23" s="14" t="s">
        <v>317</v>
      </c>
      <c r="B23" s="7" t="str">
        <f>LOWER(A23)</f>
        <v>raja rai</v>
      </c>
      <c r="C23" s="7" t="str">
        <f>UPPER(B23)</f>
        <v>RAJA RAI</v>
      </c>
      <c r="D23" s="7" t="str">
        <f>PROPER(B23)</f>
        <v>Raja Rai</v>
      </c>
      <c r="E23" s="7" t="str">
        <f>LEFT(A23,3)</f>
        <v>Raj</v>
      </c>
      <c r="F23" s="7" t="str">
        <f>RIGHT(A23,3)</f>
        <v>RAI</v>
      </c>
      <c r="G23" s="7" t="str">
        <f>MID(A23,3,4)</f>
        <v>ja R</v>
      </c>
      <c r="H23" s="7">
        <f>LEN(A23)</f>
        <v>8</v>
      </c>
      <c r="I23" t="str">
        <f>LOWER(A23)</f>
        <v>raja rai</v>
      </c>
      <c r="J23" t="str">
        <f>UPPER(I23)</f>
        <v>RAJA RAI</v>
      </c>
      <c r="K23" t="str">
        <f>PROPER(J23)</f>
        <v>Raja Rai</v>
      </c>
      <c r="L23" t="str">
        <f>LEFT(K23,3)</f>
        <v>Raj</v>
      </c>
      <c r="M23" t="str">
        <f>MID(K23,3,2)</f>
        <v>ja</v>
      </c>
      <c r="N23" t="str">
        <f>RIGHT(K23,3)</f>
        <v>Rai</v>
      </c>
      <c r="O23">
        <f>LEN(N23)</f>
        <v>3</v>
      </c>
    </row>
    <row r="24" spans="1:15" x14ac:dyDescent="0.25">
      <c r="A24" s="14" t="s">
        <v>319</v>
      </c>
      <c r="B24" s="7" t="str">
        <f t="shared" ref="B24:B28" si="7">LOWER(A24)</f>
        <v>suman</v>
      </c>
      <c r="C24" s="7" t="str">
        <f t="shared" ref="C24:C28" si="8">UPPER(B24)</f>
        <v>SUMAN</v>
      </c>
      <c r="D24" s="7" t="str">
        <f t="shared" ref="D24:D28" si="9">PROPER(B24)</f>
        <v>Suman</v>
      </c>
      <c r="E24" s="7" t="str">
        <f t="shared" ref="E24:E28" si="10">LEFT(A24,3)</f>
        <v>Sum</v>
      </c>
      <c r="F24" s="7" t="str">
        <f t="shared" ref="F24:F28" si="11">RIGHT(A24,3)</f>
        <v>man</v>
      </c>
      <c r="G24" s="7" t="str">
        <f t="shared" ref="G24:G28" si="12">MID(A24,3,4)</f>
        <v>man</v>
      </c>
      <c r="H24" s="7">
        <f t="shared" ref="H24:H28" si="13">LEN(A24)</f>
        <v>5</v>
      </c>
      <c r="I24" t="str">
        <f t="shared" ref="I24:I28" si="14">LOWER(A24)</f>
        <v>suman</v>
      </c>
      <c r="J24" t="str">
        <f t="shared" ref="J24:J28" si="15">UPPER(I24)</f>
        <v>SUMAN</v>
      </c>
      <c r="K24" t="str">
        <f t="shared" ref="K24:K28" si="16">PROPER(J24)</f>
        <v>Suman</v>
      </c>
      <c r="L24" t="str">
        <f t="shared" ref="L24:L28" si="17">LEFT(K24,3)</f>
        <v>Sum</v>
      </c>
      <c r="M24" t="str">
        <f t="shared" ref="M24:M28" si="18">MID(K24,3,2)</f>
        <v>ma</v>
      </c>
      <c r="N24" t="str">
        <f t="shared" ref="N24:N28" si="19">RIGHT(K24,3)</f>
        <v>man</v>
      </c>
      <c r="O24">
        <f t="shared" ref="O24:O28" si="20">LEN(N24)</f>
        <v>3</v>
      </c>
    </row>
    <row r="25" spans="1:15" x14ac:dyDescent="0.25">
      <c r="A25" s="14" t="s">
        <v>320</v>
      </c>
      <c r="B25" s="7" t="str">
        <f t="shared" si="7"/>
        <v>kuldeep</v>
      </c>
      <c r="C25" s="7" t="str">
        <f t="shared" si="8"/>
        <v>KULDEEP</v>
      </c>
      <c r="D25" s="7" t="str">
        <f t="shared" si="9"/>
        <v>Kuldeep</v>
      </c>
      <c r="E25" s="7" t="str">
        <f t="shared" si="10"/>
        <v>Kul</v>
      </c>
      <c r="F25" s="7" t="str">
        <f t="shared" si="11"/>
        <v>eep</v>
      </c>
      <c r="G25" s="7" t="str">
        <f t="shared" si="12"/>
        <v>ldee</v>
      </c>
      <c r="H25" s="7">
        <f t="shared" si="13"/>
        <v>7</v>
      </c>
      <c r="I25" t="str">
        <f t="shared" si="14"/>
        <v>kuldeep</v>
      </c>
      <c r="J25" t="str">
        <f t="shared" si="15"/>
        <v>KULDEEP</v>
      </c>
      <c r="K25" t="str">
        <f t="shared" si="16"/>
        <v>Kuldeep</v>
      </c>
      <c r="L25" t="str">
        <f t="shared" si="17"/>
        <v>Kul</v>
      </c>
      <c r="M25" t="str">
        <f t="shared" si="18"/>
        <v>ld</v>
      </c>
      <c r="N25" t="str">
        <f t="shared" si="19"/>
        <v>eep</v>
      </c>
      <c r="O25">
        <f t="shared" si="20"/>
        <v>3</v>
      </c>
    </row>
    <row r="26" spans="1:15" x14ac:dyDescent="0.25">
      <c r="A26" s="14" t="s">
        <v>321</v>
      </c>
      <c r="B26" s="7" t="str">
        <f t="shared" si="7"/>
        <v>hari</v>
      </c>
      <c r="C26" s="7" t="str">
        <f t="shared" si="8"/>
        <v>HARI</v>
      </c>
      <c r="D26" s="7" t="str">
        <f t="shared" si="9"/>
        <v>Hari</v>
      </c>
      <c r="E26" s="7" t="str">
        <f t="shared" si="10"/>
        <v>Har</v>
      </c>
      <c r="F26" s="7" t="str">
        <f t="shared" si="11"/>
        <v>ari</v>
      </c>
      <c r="G26" s="7" t="str">
        <f t="shared" si="12"/>
        <v>ri</v>
      </c>
      <c r="H26" s="7">
        <f t="shared" si="13"/>
        <v>4</v>
      </c>
      <c r="I26" t="str">
        <f t="shared" si="14"/>
        <v>hari</v>
      </c>
      <c r="J26" t="str">
        <f t="shared" si="15"/>
        <v>HARI</v>
      </c>
      <c r="K26" t="str">
        <f t="shared" si="16"/>
        <v>Hari</v>
      </c>
      <c r="L26" t="str">
        <f t="shared" si="17"/>
        <v>Har</v>
      </c>
      <c r="M26" t="str">
        <f t="shared" si="18"/>
        <v>ri</v>
      </c>
      <c r="N26" t="str">
        <f t="shared" si="19"/>
        <v>ari</v>
      </c>
      <c r="O26">
        <f t="shared" si="20"/>
        <v>3</v>
      </c>
    </row>
    <row r="27" spans="1:15" x14ac:dyDescent="0.25">
      <c r="A27" s="14" t="s">
        <v>339</v>
      </c>
      <c r="B27" s="7" t="str">
        <f t="shared" si="7"/>
        <v>jyoti</v>
      </c>
      <c r="C27" s="7" t="str">
        <f t="shared" si="8"/>
        <v>JYOTI</v>
      </c>
      <c r="D27" s="7" t="str">
        <f t="shared" si="9"/>
        <v>Jyoti</v>
      </c>
      <c r="E27" s="7" t="str">
        <f t="shared" si="10"/>
        <v>Jyo</v>
      </c>
      <c r="F27" s="7" t="str">
        <f t="shared" si="11"/>
        <v>oti</v>
      </c>
      <c r="G27" s="7" t="str">
        <f t="shared" si="12"/>
        <v>oti</v>
      </c>
      <c r="H27" s="7">
        <f t="shared" si="13"/>
        <v>5</v>
      </c>
      <c r="I27" t="str">
        <f t="shared" si="14"/>
        <v>jyoti</v>
      </c>
      <c r="J27" t="str">
        <f t="shared" si="15"/>
        <v>JYOTI</v>
      </c>
      <c r="K27" t="str">
        <f t="shared" si="16"/>
        <v>Jyoti</v>
      </c>
      <c r="L27" t="str">
        <f t="shared" si="17"/>
        <v>Jyo</v>
      </c>
      <c r="M27" t="str">
        <f t="shared" si="18"/>
        <v>ot</v>
      </c>
      <c r="N27" t="str">
        <f t="shared" si="19"/>
        <v>oti</v>
      </c>
      <c r="O27">
        <f t="shared" si="20"/>
        <v>3</v>
      </c>
    </row>
    <row r="28" spans="1:15" x14ac:dyDescent="0.25">
      <c r="A28" s="14" t="s">
        <v>340</v>
      </c>
      <c r="B28" s="7" t="str">
        <f t="shared" si="7"/>
        <v>ravi</v>
      </c>
      <c r="C28" s="7" t="str">
        <f t="shared" si="8"/>
        <v>RAVI</v>
      </c>
      <c r="D28" s="7" t="str">
        <f t="shared" si="9"/>
        <v>Ravi</v>
      </c>
      <c r="E28" s="7" t="str">
        <f t="shared" si="10"/>
        <v>Rav</v>
      </c>
      <c r="F28" s="7" t="str">
        <f t="shared" si="11"/>
        <v>avi</v>
      </c>
      <c r="G28" s="7" t="str">
        <f t="shared" si="12"/>
        <v>vi</v>
      </c>
      <c r="H28" s="7">
        <f t="shared" si="13"/>
        <v>4</v>
      </c>
      <c r="I28" t="str">
        <f t="shared" si="14"/>
        <v>ravi</v>
      </c>
      <c r="J28" t="str">
        <f t="shared" si="15"/>
        <v>RAVI</v>
      </c>
      <c r="K28" t="str">
        <f t="shared" si="16"/>
        <v>Ravi</v>
      </c>
      <c r="L28" t="str">
        <f t="shared" si="17"/>
        <v>Rav</v>
      </c>
      <c r="M28" t="str">
        <f t="shared" si="18"/>
        <v>vi</v>
      </c>
      <c r="N28" t="str">
        <f t="shared" si="19"/>
        <v>avi</v>
      </c>
      <c r="O28">
        <f t="shared" si="20"/>
        <v>3</v>
      </c>
    </row>
    <row r="31" spans="1:15" x14ac:dyDescent="0.25">
      <c r="A31" s="11" t="s">
        <v>297</v>
      </c>
      <c r="B31" s="11" t="s">
        <v>298</v>
      </c>
      <c r="C31" s="11" t="s">
        <v>328</v>
      </c>
      <c r="D31" s="11" t="s">
        <v>329</v>
      </c>
    </row>
    <row r="32" spans="1:15" x14ac:dyDescent="0.25">
      <c r="A32" s="14" t="s">
        <v>300</v>
      </c>
      <c r="B32" s="14">
        <v>45</v>
      </c>
      <c r="C32" s="14">
        <v>52</v>
      </c>
      <c r="D32" s="14" t="str">
        <f>IF(AND(B32&gt;=35,C32&gt;=35),"Pass","Fail")</f>
        <v>Pass</v>
      </c>
    </row>
    <row r="33" spans="1:11" x14ac:dyDescent="0.25">
      <c r="A33" s="14" t="s">
        <v>301</v>
      </c>
      <c r="B33" s="14">
        <v>50</v>
      </c>
      <c r="C33" s="14">
        <v>49</v>
      </c>
      <c r="D33" s="14" t="str">
        <f t="shared" ref="D33:D40" si="21">IF(AND(B33&gt;=35,C33&gt;=35),"Pass","Fail")</f>
        <v>Pass</v>
      </c>
    </row>
    <row r="34" spans="1:11" x14ac:dyDescent="0.25">
      <c r="A34" s="14" t="s">
        <v>302</v>
      </c>
      <c r="B34" s="14">
        <v>28</v>
      </c>
      <c r="C34" s="14">
        <v>64</v>
      </c>
      <c r="D34" s="14" t="str">
        <f t="shared" si="21"/>
        <v>Fail</v>
      </c>
    </row>
    <row r="35" spans="1:11" x14ac:dyDescent="0.25">
      <c r="A35" s="14" t="s">
        <v>303</v>
      </c>
      <c r="B35" s="14">
        <v>76</v>
      </c>
      <c r="C35" s="14">
        <v>25</v>
      </c>
      <c r="D35" s="14" t="str">
        <f t="shared" si="21"/>
        <v>Fail</v>
      </c>
    </row>
    <row r="36" spans="1:11" x14ac:dyDescent="0.25">
      <c r="A36" s="14" t="s">
        <v>304</v>
      </c>
      <c r="B36" s="14">
        <v>30</v>
      </c>
      <c r="C36" s="14">
        <v>32</v>
      </c>
      <c r="D36" s="14" t="str">
        <f t="shared" si="21"/>
        <v>Fail</v>
      </c>
    </row>
    <row r="37" spans="1:11" x14ac:dyDescent="0.25">
      <c r="A37" s="14" t="s">
        <v>305</v>
      </c>
      <c r="B37" s="14">
        <v>58</v>
      </c>
      <c r="C37" s="14">
        <v>45</v>
      </c>
      <c r="D37" s="14" t="str">
        <f t="shared" si="21"/>
        <v>Pass</v>
      </c>
    </row>
    <row r="38" spans="1:11" ht="45" x14ac:dyDescent="0.25">
      <c r="A38" s="14" t="s">
        <v>306</v>
      </c>
      <c r="B38" s="14">
        <v>32</v>
      </c>
      <c r="C38" s="14">
        <v>40</v>
      </c>
      <c r="D38" s="14" t="str">
        <f t="shared" si="21"/>
        <v>Fail</v>
      </c>
      <c r="K38" s="18" t="s">
        <v>372</v>
      </c>
    </row>
    <row r="39" spans="1:11" x14ac:dyDescent="0.25">
      <c r="A39" s="14" t="s">
        <v>307</v>
      </c>
      <c r="B39" s="14">
        <v>64</v>
      </c>
      <c r="C39" s="14">
        <v>79</v>
      </c>
      <c r="D39" s="14" t="str">
        <f t="shared" si="21"/>
        <v>Pass</v>
      </c>
      <c r="K39" s="19" t="s">
        <v>373</v>
      </c>
    </row>
    <row r="40" spans="1:11" x14ac:dyDescent="0.25">
      <c r="A40" s="14" t="s">
        <v>308</v>
      </c>
      <c r="B40" s="14">
        <v>59</v>
      </c>
      <c r="C40" s="14">
        <v>65</v>
      </c>
      <c r="D40" s="14" t="str">
        <f t="shared" si="21"/>
        <v>Pass</v>
      </c>
    </row>
    <row r="43" spans="1:11" x14ac:dyDescent="0.25">
      <c r="A43" s="15" t="s">
        <v>330</v>
      </c>
      <c r="B43" s="7" t="s">
        <v>331</v>
      </c>
      <c r="C43" s="7" t="s">
        <v>332</v>
      </c>
      <c r="D43" s="7" t="s">
        <v>333</v>
      </c>
    </row>
    <row r="44" spans="1:11" x14ac:dyDescent="0.25">
      <c r="A44" s="14" t="s">
        <v>300</v>
      </c>
      <c r="B44" s="14">
        <v>86</v>
      </c>
      <c r="C44" s="14">
        <v>74</v>
      </c>
      <c r="D44" s="7" t="str">
        <f>IF(OR(B44&gt;=80,C44&gt;=70),"Register","Next Class")</f>
        <v>Register</v>
      </c>
    </row>
    <row r="45" spans="1:11" x14ac:dyDescent="0.25">
      <c r="A45" s="14" t="s">
        <v>301</v>
      </c>
      <c r="B45" s="14">
        <v>80</v>
      </c>
      <c r="C45" s="14">
        <v>95</v>
      </c>
      <c r="D45" s="7" t="str">
        <f t="shared" ref="D45:D52" si="22">IF(OR(B45&gt;=80,C45&gt;=70),"Register","Next Class")</f>
        <v>Register</v>
      </c>
    </row>
    <row r="46" spans="1:11" x14ac:dyDescent="0.25">
      <c r="A46" s="14" t="s">
        <v>302</v>
      </c>
      <c r="B46" s="14">
        <v>92</v>
      </c>
      <c r="C46" s="14">
        <v>89</v>
      </c>
      <c r="D46" s="7" t="str">
        <f t="shared" si="22"/>
        <v>Register</v>
      </c>
    </row>
    <row r="47" spans="1:11" x14ac:dyDescent="0.25">
      <c r="A47" s="14" t="s">
        <v>303</v>
      </c>
      <c r="B47" s="14">
        <v>63</v>
      </c>
      <c r="C47" s="14">
        <v>51</v>
      </c>
      <c r="D47" s="7" t="str">
        <f t="shared" si="22"/>
        <v>Next Class</v>
      </c>
    </row>
    <row r="48" spans="1:11" x14ac:dyDescent="0.25">
      <c r="A48" s="14" t="s">
        <v>304</v>
      </c>
      <c r="B48" s="14">
        <v>67</v>
      </c>
      <c r="C48" s="14">
        <v>79</v>
      </c>
      <c r="D48" s="7" t="str">
        <f t="shared" si="22"/>
        <v>Register</v>
      </c>
    </row>
    <row r="49" spans="1:8" x14ac:dyDescent="0.25">
      <c r="A49" s="14" t="s">
        <v>305</v>
      </c>
      <c r="B49" s="14">
        <v>57</v>
      </c>
      <c r="C49" s="14">
        <v>85</v>
      </c>
      <c r="D49" s="7" t="str">
        <f t="shared" si="22"/>
        <v>Register</v>
      </c>
    </row>
    <row r="50" spans="1:8" x14ac:dyDescent="0.25">
      <c r="A50" s="14" t="s">
        <v>306</v>
      </c>
      <c r="B50" s="14">
        <v>95</v>
      </c>
      <c r="C50" s="14">
        <v>85</v>
      </c>
      <c r="D50" s="7" t="str">
        <f t="shared" si="22"/>
        <v>Register</v>
      </c>
    </row>
    <row r="51" spans="1:8" x14ac:dyDescent="0.25">
      <c r="A51" s="14" t="s">
        <v>307</v>
      </c>
      <c r="B51" s="14">
        <v>93</v>
      </c>
      <c r="C51" s="14">
        <v>74</v>
      </c>
      <c r="D51" s="7" t="str">
        <f t="shared" si="22"/>
        <v>Register</v>
      </c>
    </row>
    <row r="52" spans="1:8" x14ac:dyDescent="0.25">
      <c r="A52" s="14" t="s">
        <v>308</v>
      </c>
      <c r="B52" s="14">
        <v>79</v>
      </c>
      <c r="C52" s="14">
        <v>71</v>
      </c>
      <c r="D52" s="7" t="str">
        <f t="shared" si="22"/>
        <v>Register</v>
      </c>
    </row>
    <row r="55" spans="1:8" x14ac:dyDescent="0.25">
      <c r="A55" s="15" t="s">
        <v>334</v>
      </c>
      <c r="B55" s="7" t="s">
        <v>335</v>
      </c>
      <c r="C55" s="7" t="s">
        <v>336</v>
      </c>
      <c r="D55" s="7"/>
      <c r="E55" s="7"/>
    </row>
    <row r="56" spans="1:8" x14ac:dyDescent="0.25">
      <c r="A56" s="7">
        <v>28</v>
      </c>
      <c r="B56" s="7">
        <v>5</v>
      </c>
      <c r="C56" s="7">
        <f>A56/B56</f>
        <v>5.6</v>
      </c>
      <c r="D56" s="7">
        <f>IFERROR(C56,"0")</f>
        <v>5.6</v>
      </c>
      <c r="E56" s="3">
        <f>IFERROR(A56/B56,0)</f>
        <v>5.6</v>
      </c>
    </row>
    <row r="57" spans="1:8" x14ac:dyDescent="0.25">
      <c r="A57" s="7">
        <v>32.450000000000003</v>
      </c>
      <c r="B57" s="7">
        <v>0</v>
      </c>
      <c r="C57" s="7" t="e">
        <f t="shared" ref="C57:C65" si="23">A57/B57</f>
        <v>#DIV/0!</v>
      </c>
      <c r="D57" s="7" t="str">
        <f t="shared" ref="D57:D65" si="24">IFERROR(C57,"0")</f>
        <v>0</v>
      </c>
      <c r="E57" s="3">
        <f t="shared" ref="E57:E65" si="25">IFERROR(A57/B57,0)</f>
        <v>0</v>
      </c>
      <c r="F57" t="str">
        <f>IFERROR(C57,"BAD FARMULA")</f>
        <v>BAD FARMULA</v>
      </c>
    </row>
    <row r="58" spans="1:8" x14ac:dyDescent="0.25">
      <c r="A58" s="7">
        <v>12.95</v>
      </c>
      <c r="B58" s="7">
        <v>20</v>
      </c>
      <c r="C58" s="7">
        <f t="shared" si="23"/>
        <v>0.64749999999999996</v>
      </c>
      <c r="D58" s="7">
        <f t="shared" si="24"/>
        <v>0.64749999999999996</v>
      </c>
      <c r="E58" s="3">
        <f t="shared" si="25"/>
        <v>0.64749999999999996</v>
      </c>
      <c r="F58">
        <f>IFERROR(C58,"BAD FARMULA")</f>
        <v>0.64749999999999996</v>
      </c>
    </row>
    <row r="59" spans="1:8" x14ac:dyDescent="0.25">
      <c r="A59" s="7">
        <v>17.649999999999999</v>
      </c>
      <c r="B59" s="7">
        <v>10</v>
      </c>
      <c r="C59" s="7">
        <f t="shared" si="23"/>
        <v>1.7649999999999999</v>
      </c>
      <c r="D59" s="7">
        <f t="shared" si="24"/>
        <v>1.7649999999999999</v>
      </c>
      <c r="E59" s="3">
        <f t="shared" si="25"/>
        <v>1.7649999999999999</v>
      </c>
    </row>
    <row r="60" spans="1:8" x14ac:dyDescent="0.25">
      <c r="A60" s="7">
        <v>23.48</v>
      </c>
      <c r="B60" s="7">
        <v>8</v>
      </c>
      <c r="C60" s="7">
        <f t="shared" si="23"/>
        <v>2.9350000000000001</v>
      </c>
      <c r="D60" s="7">
        <f t="shared" si="24"/>
        <v>2.9350000000000001</v>
      </c>
      <c r="E60" s="3">
        <f t="shared" si="25"/>
        <v>2.9350000000000001</v>
      </c>
      <c r="F60" t="s">
        <v>375</v>
      </c>
      <c r="G60" t="str">
        <f>_xlfn.IFNA(F60,"Value Missing")</f>
        <v>#NA</v>
      </c>
      <c r="H60" t="str">
        <f>_xlfn.IFNA(G60,"Value Missing")</f>
        <v>#NA</v>
      </c>
    </row>
    <row r="61" spans="1:8" x14ac:dyDescent="0.25">
      <c r="A61" s="7">
        <v>95.35</v>
      </c>
      <c r="B61" s="7">
        <v>0</v>
      </c>
      <c r="C61" s="7" t="e">
        <f t="shared" si="23"/>
        <v>#DIV/0!</v>
      </c>
      <c r="D61" s="7" t="str">
        <f t="shared" si="24"/>
        <v>0</v>
      </c>
      <c r="E61" s="3">
        <f t="shared" si="25"/>
        <v>0</v>
      </c>
    </row>
    <row r="62" spans="1:8" x14ac:dyDescent="0.25">
      <c r="A62" s="7">
        <v>58.48</v>
      </c>
      <c r="B62" s="7">
        <v>10</v>
      </c>
      <c r="C62" s="7">
        <f t="shared" si="23"/>
        <v>5.8479999999999999</v>
      </c>
      <c r="D62" s="7">
        <f t="shared" si="24"/>
        <v>5.8479999999999999</v>
      </c>
      <c r="E62" s="3">
        <f t="shared" si="25"/>
        <v>5.8479999999999999</v>
      </c>
    </row>
    <row r="63" spans="1:8" x14ac:dyDescent="0.25">
      <c r="A63" s="7">
        <v>72.849999999999994</v>
      </c>
      <c r="B63" s="7">
        <v>0</v>
      </c>
      <c r="C63" s="7" t="e">
        <f t="shared" si="23"/>
        <v>#DIV/0!</v>
      </c>
      <c r="D63" s="7" t="str">
        <f t="shared" si="24"/>
        <v>0</v>
      </c>
      <c r="E63" s="3">
        <f t="shared" si="25"/>
        <v>0</v>
      </c>
    </row>
    <row r="64" spans="1:8" x14ac:dyDescent="0.25">
      <c r="A64" s="7">
        <v>13.95</v>
      </c>
      <c r="B64" s="7">
        <v>12</v>
      </c>
      <c r="C64" s="7">
        <f t="shared" si="23"/>
        <v>1.1624999999999999</v>
      </c>
      <c r="D64" s="7">
        <f t="shared" si="24"/>
        <v>1.1624999999999999</v>
      </c>
      <c r="E64" s="3">
        <f t="shared" si="25"/>
        <v>1.1624999999999999</v>
      </c>
    </row>
    <row r="65" spans="1:5" x14ac:dyDescent="0.25">
      <c r="A65" s="7">
        <v>43.25</v>
      </c>
      <c r="B65" s="7">
        <v>16</v>
      </c>
      <c r="C65" s="7">
        <f t="shared" si="23"/>
        <v>2.703125</v>
      </c>
      <c r="D65" s="7">
        <f t="shared" si="24"/>
        <v>2.703125</v>
      </c>
      <c r="E65" s="3">
        <f t="shared" si="25"/>
        <v>2.703125</v>
      </c>
    </row>
    <row r="68" spans="1:5" x14ac:dyDescent="0.25">
      <c r="A68" s="8" t="s">
        <v>337</v>
      </c>
      <c r="B68" s="8"/>
      <c r="C68" s="8"/>
    </row>
    <row r="69" spans="1:5" x14ac:dyDescent="0.25">
      <c r="A69" s="8" t="s">
        <v>338</v>
      </c>
      <c r="B69" s="8"/>
      <c r="C69" s="8"/>
    </row>
    <row r="87" spans="1:5" x14ac:dyDescent="0.25">
      <c r="A87" s="8" t="s">
        <v>351</v>
      </c>
      <c r="B87" s="8"/>
      <c r="C87" s="8"/>
    </row>
    <row r="88" spans="1:5" x14ac:dyDescent="0.25">
      <c r="A88" s="7" t="s">
        <v>352</v>
      </c>
      <c r="B88" s="7" t="s">
        <v>352</v>
      </c>
      <c r="C88" s="7" t="b">
        <f>EXACT(A88,B88)</f>
        <v>1</v>
      </c>
      <c r="D88" t="b">
        <f>EXACT(A88,B88)</f>
        <v>1</v>
      </c>
    </row>
    <row r="89" spans="1:5" x14ac:dyDescent="0.25">
      <c r="A89" s="7" t="s">
        <v>352</v>
      </c>
      <c r="B89" s="7" t="s">
        <v>353</v>
      </c>
      <c r="C89" s="7" t="b">
        <f t="shared" ref="C89:C90" si="26">EXACT(A89,B89)</f>
        <v>0</v>
      </c>
      <c r="D89" t="b">
        <f t="shared" ref="D89:D90" si="27">EXACT(A89,B89)</f>
        <v>0</v>
      </c>
    </row>
    <row r="90" spans="1:5" x14ac:dyDescent="0.25">
      <c r="A90" s="7" t="s">
        <v>354</v>
      </c>
      <c r="B90" s="7" t="s">
        <v>353</v>
      </c>
      <c r="C90" s="7" t="b">
        <f t="shared" si="26"/>
        <v>0</v>
      </c>
      <c r="D90" t="b">
        <f t="shared" si="27"/>
        <v>0</v>
      </c>
    </row>
    <row r="92" spans="1:5" x14ac:dyDescent="0.25">
      <c r="A92" s="4" t="s">
        <v>355</v>
      </c>
      <c r="B92" s="4"/>
    </row>
    <row r="93" spans="1:5" x14ac:dyDescent="0.25">
      <c r="A93" s="7">
        <v>20</v>
      </c>
      <c r="B93" s="7">
        <v>100</v>
      </c>
      <c r="C93">
        <f ca="1">RANDBETWEEN(A93,B93)</f>
        <v>70</v>
      </c>
      <c r="D93">
        <v>1</v>
      </c>
      <c r="E93">
        <f ca="1">RANDBETWEEN(D93,D94)</f>
        <v>3</v>
      </c>
    </row>
    <row r="94" spans="1:5" x14ac:dyDescent="0.25">
      <c r="A94" s="7">
        <f ca="1">RANDBETWEEN(A93,B93)</f>
        <v>70</v>
      </c>
      <c r="B94" s="7"/>
      <c r="D94">
        <v>3</v>
      </c>
    </row>
    <row r="97" spans="1:8" x14ac:dyDescent="0.25">
      <c r="A97" t="s">
        <v>356</v>
      </c>
      <c r="G97" s="6" t="s">
        <v>370</v>
      </c>
    </row>
    <row r="98" spans="1:8" x14ac:dyDescent="0.25">
      <c r="A98" t="s">
        <v>357</v>
      </c>
      <c r="B98" t="s">
        <v>366</v>
      </c>
      <c r="C98" t="s">
        <v>367</v>
      </c>
      <c r="D98" t="s">
        <v>368</v>
      </c>
      <c r="E98" t="s">
        <v>369</v>
      </c>
      <c r="G98" s="7" t="s">
        <v>357</v>
      </c>
      <c r="H98" s="7" t="s">
        <v>361</v>
      </c>
    </row>
    <row r="99" spans="1:8" x14ac:dyDescent="0.25">
      <c r="A99" s="7" t="s">
        <v>358</v>
      </c>
      <c r="B99" s="7">
        <v>38</v>
      </c>
      <c r="C99" s="7">
        <v>58</v>
      </c>
      <c r="D99" s="7">
        <v>66</v>
      </c>
      <c r="E99" s="7">
        <v>49</v>
      </c>
      <c r="G99" s="7" t="s">
        <v>298</v>
      </c>
      <c r="H99" s="7">
        <f>VLOOKUP(H98,A99:E106,2,0)</f>
        <v>82</v>
      </c>
    </row>
    <row r="100" spans="1:8" x14ac:dyDescent="0.25">
      <c r="A100" s="7" t="s">
        <v>359</v>
      </c>
      <c r="B100" s="7">
        <v>88</v>
      </c>
      <c r="C100" s="7">
        <v>92</v>
      </c>
      <c r="D100" s="7">
        <v>74</v>
      </c>
      <c r="E100" s="7">
        <v>90</v>
      </c>
    </row>
    <row r="101" spans="1:8" x14ac:dyDescent="0.25">
      <c r="A101" s="7" t="s">
        <v>360</v>
      </c>
      <c r="B101" s="7">
        <v>57</v>
      </c>
      <c r="C101" s="7">
        <v>77</v>
      </c>
      <c r="D101" s="7">
        <v>91</v>
      </c>
      <c r="E101" s="7">
        <v>91</v>
      </c>
      <c r="G101" s="6" t="s">
        <v>371</v>
      </c>
    </row>
    <row r="102" spans="1:8" x14ac:dyDescent="0.25">
      <c r="A102" s="7" t="s">
        <v>361</v>
      </c>
      <c r="B102" s="7">
        <v>82</v>
      </c>
      <c r="C102" s="7">
        <v>56</v>
      </c>
      <c r="D102" s="7">
        <v>45</v>
      </c>
      <c r="E102" s="7">
        <v>95</v>
      </c>
    </row>
    <row r="103" spans="1:8" x14ac:dyDescent="0.25">
      <c r="A103" s="7" t="s">
        <v>362</v>
      </c>
      <c r="B103" s="7">
        <v>55</v>
      </c>
      <c r="C103" s="7">
        <v>55</v>
      </c>
      <c r="D103" s="7">
        <v>65</v>
      </c>
      <c r="E103" s="7">
        <v>75</v>
      </c>
    </row>
    <row r="104" spans="1:8" x14ac:dyDescent="0.25">
      <c r="A104" s="7" t="s">
        <v>363</v>
      </c>
      <c r="B104" s="7">
        <v>44</v>
      </c>
      <c r="C104" s="7">
        <v>68</v>
      </c>
      <c r="D104" s="7">
        <v>80</v>
      </c>
      <c r="E104" s="7">
        <v>90</v>
      </c>
    </row>
    <row r="105" spans="1:8" x14ac:dyDescent="0.25">
      <c r="A105" s="7" t="s">
        <v>364</v>
      </c>
      <c r="B105" s="7">
        <v>75</v>
      </c>
      <c r="C105" s="7">
        <v>51</v>
      </c>
      <c r="D105" s="7">
        <v>57</v>
      </c>
      <c r="E105" s="7">
        <v>84</v>
      </c>
    </row>
    <row r="106" spans="1:8" x14ac:dyDescent="0.25">
      <c r="A106" s="7" t="s">
        <v>365</v>
      </c>
      <c r="B106" s="7">
        <v>38</v>
      </c>
      <c r="C106" s="7">
        <v>37</v>
      </c>
      <c r="D106" s="7">
        <v>51</v>
      </c>
      <c r="E106" s="7">
        <v>56</v>
      </c>
    </row>
  </sheetData>
  <customSheetViews>
    <customSheetView guid="{17B4BC62-A64E-4181-AF33-17F939339C15}" topLeftCell="A54">
      <selection activeCell="H60" sqref="H60"/>
      <pageMargins left="0.7" right="0.7" top="0.75" bottom="0.75" header="0.3" footer="0.3"/>
      <pageSetup paperSize="9" orientation="portrait" horizontalDpi="300" verticalDpi="0" copies="0" r:id="rId1"/>
    </customSheetView>
  </customSheetViews>
  <dataValidations disablePrompts="1" count="1">
    <dataValidation type="list" allowBlank="1" showInputMessage="1" showErrorMessage="1" sqref="H98" xr:uid="{00000000-0002-0000-0400-000000000000}">
      <formula1>Students_Name</formula1>
    </dataValidation>
  </dataValidations>
  <pageMargins left="0.7" right="0.7" top="0.75" bottom="0.75" header="0.3" footer="0.3"/>
  <pageSetup paperSize="9" orientation="portrait" horizontalDpi="300" verticalDpi="0" copies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4"/>
  <sheetViews>
    <sheetView tabSelected="1" workbookViewId="0">
      <selection activeCell="I19" sqref="I19"/>
    </sheetView>
  </sheetViews>
  <sheetFormatPr defaultRowHeight="15" x14ac:dyDescent="0.25"/>
  <sheetData>
    <row r="1" spans="1:12" x14ac:dyDescent="0.25">
      <c r="B1" t="s">
        <v>262</v>
      </c>
    </row>
    <row r="2" spans="1:12" x14ac:dyDescent="0.25">
      <c r="A2" t="s">
        <v>263</v>
      </c>
      <c r="B2" t="s">
        <v>264</v>
      </c>
      <c r="C2" t="s">
        <v>265</v>
      </c>
      <c r="E2" t="s">
        <v>261</v>
      </c>
    </row>
    <row r="3" spans="1:12" x14ac:dyDescent="0.25">
      <c r="A3" t="s">
        <v>266</v>
      </c>
      <c r="B3" s="6">
        <v>877</v>
      </c>
      <c r="C3">
        <v>571</v>
      </c>
    </row>
    <row r="4" spans="1:12" x14ac:dyDescent="0.25">
      <c r="A4" t="s">
        <v>267</v>
      </c>
      <c r="B4" s="6">
        <v>910</v>
      </c>
      <c r="C4">
        <v>748</v>
      </c>
      <c r="E4">
        <f ca="1">SUM(OFFSET( A2,2,1,4,2))</f>
        <v>5944</v>
      </c>
      <c r="F4">
        <f ca="1">OFFSET(A2,2,2)</f>
        <v>748</v>
      </c>
    </row>
    <row r="5" spans="1:12" x14ac:dyDescent="0.25">
      <c r="A5" t="s">
        <v>268</v>
      </c>
      <c r="B5">
        <v>541</v>
      </c>
      <c r="C5">
        <v>526</v>
      </c>
      <c r="E5">
        <f ca="1">SUM(OFFSET(A2,2,1,4,2))</f>
        <v>5944</v>
      </c>
      <c r="G5">
        <f ca="1">OFFSET(B1,2,3)</f>
        <v>0</v>
      </c>
      <c r="L5" t="e">
        <f>help</f>
        <v>#NAME?</v>
      </c>
    </row>
    <row r="6" spans="1:12" x14ac:dyDescent="0.25">
      <c r="A6" t="s">
        <v>269</v>
      </c>
      <c r="B6">
        <v>838</v>
      </c>
      <c r="C6">
        <v>758</v>
      </c>
      <c r="E6">
        <f ca="1">SUM(OFFSET(A2,2,1,4,2))</f>
        <v>5944</v>
      </c>
    </row>
    <row r="7" spans="1:12" x14ac:dyDescent="0.25">
      <c r="A7" t="s">
        <v>270</v>
      </c>
      <c r="B7">
        <v>961</v>
      </c>
      <c r="C7">
        <v>662</v>
      </c>
      <c r="E7">
        <f ca="1">SUM(OFFSET(A2,2,1,))</f>
        <v>910</v>
      </c>
    </row>
    <row r="8" spans="1:12" x14ac:dyDescent="0.25">
      <c r="A8" t="s">
        <v>271</v>
      </c>
      <c r="B8">
        <v>715</v>
      </c>
      <c r="C8">
        <v>690</v>
      </c>
    </row>
    <row r="9" spans="1:12" x14ac:dyDescent="0.25">
      <c r="A9" t="s">
        <v>272</v>
      </c>
      <c r="B9">
        <v>574</v>
      </c>
      <c r="C9">
        <v>668</v>
      </c>
      <c r="E9">
        <f ca="1">SUM(OFFSET(A2,1,1))</f>
        <v>877</v>
      </c>
    </row>
    <row r="10" spans="1:12" x14ac:dyDescent="0.25">
      <c r="A10" t="s">
        <v>273</v>
      </c>
      <c r="B10">
        <v>773</v>
      </c>
      <c r="C10">
        <v>768</v>
      </c>
      <c r="E10">
        <f ca="1">SUM(OFFSET(A2,2,2))</f>
        <v>748</v>
      </c>
    </row>
    <row r="11" spans="1:12" x14ac:dyDescent="0.25">
      <c r="A11" t="s">
        <v>274</v>
      </c>
      <c r="B11">
        <v>836</v>
      </c>
      <c r="C11">
        <v>920</v>
      </c>
      <c r="E11">
        <f ca="1">SUM(OFFSET(A2,1,1,2,2))</f>
        <v>3106</v>
      </c>
    </row>
    <row r="12" spans="1:12" x14ac:dyDescent="0.25">
      <c r="A12" t="s">
        <v>275</v>
      </c>
      <c r="B12">
        <v>553</v>
      </c>
      <c r="C12">
        <v>985</v>
      </c>
    </row>
    <row r="13" spans="1:12" x14ac:dyDescent="0.25">
      <c r="A13" t="s">
        <v>276</v>
      </c>
      <c r="B13">
        <v>828</v>
      </c>
      <c r="C13">
        <v>888</v>
      </c>
    </row>
    <row r="14" spans="1:12" x14ac:dyDescent="0.25">
      <c r="A14" t="s">
        <v>277</v>
      </c>
      <c r="B14">
        <v>690</v>
      </c>
      <c r="C14">
        <v>885</v>
      </c>
      <c r="G14">
        <f>B3*C4</f>
        <v>655996</v>
      </c>
    </row>
  </sheetData>
  <customSheetViews>
    <customSheetView guid="{17B4BC62-A64E-4181-AF33-17F939339C15}">
      <selection activeCell="B4" sqref="B4:C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/>
  </sheetPr>
  <dimension ref="B1:H11"/>
  <sheetViews>
    <sheetView showGridLines="0" tabSelected="1" workbookViewId="0">
      <selection activeCell="I19" sqref="I19"/>
    </sheetView>
  </sheetViews>
  <sheetFormatPr defaultRowHeight="15" outlineLevelRow="1" outlineLevelCol="1" x14ac:dyDescent="0.25"/>
  <cols>
    <col min="3" max="3" width="7.28515625" customWidth="1"/>
    <col min="4" max="8" width="13.140625" bestFit="1" customWidth="1" outlineLevel="1"/>
  </cols>
  <sheetData>
    <row r="1" spans="2:8" ht="15.75" thickBot="1" x14ac:dyDescent="0.3"/>
    <row r="2" spans="2:8" ht="15.75" x14ac:dyDescent="0.25">
      <c r="B2" s="26" t="s">
        <v>424</v>
      </c>
      <c r="C2" s="26"/>
      <c r="D2" s="31"/>
      <c r="E2" s="31"/>
      <c r="F2" s="31"/>
      <c r="G2" s="31"/>
      <c r="H2" s="31"/>
    </row>
    <row r="3" spans="2:8" ht="15.75" collapsed="1" x14ac:dyDescent="0.25">
      <c r="B3" s="25"/>
      <c r="C3" s="25"/>
      <c r="D3" s="32" t="s">
        <v>426</v>
      </c>
      <c r="E3" s="32" t="s">
        <v>418</v>
      </c>
      <c r="F3" s="32" t="s">
        <v>420</v>
      </c>
      <c r="G3" s="32" t="s">
        <v>422</v>
      </c>
      <c r="H3" s="32" t="s">
        <v>423</v>
      </c>
    </row>
    <row r="4" spans="2:8" ht="45" hidden="1" outlineLevel="1" x14ac:dyDescent="0.25">
      <c r="B4" s="28"/>
      <c r="C4" s="28"/>
      <c r="D4" s="22"/>
      <c r="E4" s="34" t="s">
        <v>419</v>
      </c>
      <c r="F4" s="34" t="s">
        <v>421</v>
      </c>
      <c r="G4" s="34" t="s">
        <v>419</v>
      </c>
      <c r="H4" s="34" t="s">
        <v>419</v>
      </c>
    </row>
    <row r="5" spans="2:8" x14ac:dyDescent="0.25">
      <c r="B5" s="29" t="s">
        <v>425</v>
      </c>
      <c r="C5" s="29"/>
      <c r="D5" s="27"/>
      <c r="E5" s="27"/>
      <c r="F5" s="27"/>
      <c r="G5" s="27"/>
      <c r="H5" s="27"/>
    </row>
    <row r="6" spans="2:8" outlineLevel="1" x14ac:dyDescent="0.25">
      <c r="B6" s="28"/>
      <c r="C6" s="28" t="s">
        <v>416</v>
      </c>
      <c r="D6" s="23">
        <v>0.9</v>
      </c>
      <c r="E6" s="33">
        <v>0.6</v>
      </c>
      <c r="F6" s="33">
        <v>0.7</v>
      </c>
      <c r="G6" s="33">
        <v>0.8</v>
      </c>
      <c r="H6" s="33">
        <v>0.9</v>
      </c>
    </row>
    <row r="7" spans="2:8" x14ac:dyDescent="0.25">
      <c r="B7" s="29" t="s">
        <v>427</v>
      </c>
      <c r="C7" s="29"/>
      <c r="D7" s="27"/>
      <c r="E7" s="27"/>
      <c r="F7" s="27"/>
      <c r="G7" s="27"/>
      <c r="H7" s="27"/>
    </row>
    <row r="8" spans="2:8" ht="15.75" outlineLevel="1" thickBot="1" x14ac:dyDescent="0.3">
      <c r="B8" s="30"/>
      <c r="C8" s="30" t="s">
        <v>417</v>
      </c>
      <c r="D8" s="24">
        <v>4700</v>
      </c>
      <c r="E8" s="24">
        <v>4700</v>
      </c>
      <c r="F8" s="24">
        <v>4700</v>
      </c>
      <c r="G8" s="24">
        <v>4700</v>
      </c>
      <c r="H8" s="24">
        <v>4700</v>
      </c>
    </row>
    <row r="9" spans="2:8" x14ac:dyDescent="0.25">
      <c r="B9" t="s">
        <v>428</v>
      </c>
    </row>
    <row r="10" spans="2:8" x14ac:dyDescent="0.25">
      <c r="B10" t="s">
        <v>429</v>
      </c>
    </row>
    <row r="11" spans="2:8" x14ac:dyDescent="0.25">
      <c r="B11" t="s">
        <v>430</v>
      </c>
    </row>
  </sheetData>
  <customSheetViews>
    <customSheetView guid="{17B4BC62-A64E-4181-AF33-17F939339C15}" showGridLines="0" hiddenRows="1">
      <selection activeCell="K6" sqref="K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144"/>
  <sheetViews>
    <sheetView tabSelected="1" topLeftCell="A130" workbookViewId="0">
      <selection activeCell="I19" sqref="I19"/>
    </sheetView>
  </sheetViews>
  <sheetFormatPr defaultRowHeight="15" x14ac:dyDescent="0.25"/>
  <cols>
    <col min="1" max="1" width="15.28515625" bestFit="1" customWidth="1"/>
    <col min="3" max="3" width="20.140625" bestFit="1" customWidth="1"/>
    <col min="8" max="8" width="21" bestFit="1" customWidth="1"/>
    <col min="10" max="10" width="21" bestFit="1" customWidth="1"/>
    <col min="12" max="12" width="15.7109375" bestFit="1" customWidth="1"/>
  </cols>
  <sheetData>
    <row r="1" spans="1:5" x14ac:dyDescent="0.25">
      <c r="A1" s="9">
        <v>45292</v>
      </c>
      <c r="B1" t="s">
        <v>376</v>
      </c>
      <c r="C1">
        <v>2020</v>
      </c>
      <c r="E1" t="s">
        <v>377</v>
      </c>
    </row>
    <row r="2" spans="1:5" x14ac:dyDescent="0.25">
      <c r="A2" s="9">
        <v>45293</v>
      </c>
      <c r="B2" t="s">
        <v>376</v>
      </c>
      <c r="C2">
        <v>2020</v>
      </c>
      <c r="E2" s="18"/>
    </row>
    <row r="3" spans="1:5" x14ac:dyDescent="0.25">
      <c r="A3" s="9">
        <v>45294</v>
      </c>
      <c r="B3" t="s">
        <v>376</v>
      </c>
      <c r="C3">
        <v>2020</v>
      </c>
    </row>
    <row r="4" spans="1:5" x14ac:dyDescent="0.25">
      <c r="A4" s="9">
        <v>45295</v>
      </c>
      <c r="B4" t="s">
        <v>376</v>
      </c>
      <c r="C4">
        <v>2020</v>
      </c>
    </row>
    <row r="5" spans="1:5" x14ac:dyDescent="0.25">
      <c r="A5" s="9">
        <v>45296</v>
      </c>
      <c r="B5" t="s">
        <v>376</v>
      </c>
      <c r="C5">
        <v>2020</v>
      </c>
    </row>
    <row r="6" spans="1:5" x14ac:dyDescent="0.25">
      <c r="A6" s="9">
        <v>45297</v>
      </c>
      <c r="B6" t="s">
        <v>376</v>
      </c>
      <c r="C6">
        <v>2020</v>
      </c>
    </row>
    <row r="7" spans="1:5" x14ac:dyDescent="0.25">
      <c r="A7" s="9">
        <v>45298</v>
      </c>
      <c r="B7" t="s">
        <v>376</v>
      </c>
      <c r="C7">
        <v>2020</v>
      </c>
    </row>
    <row r="8" spans="1:5" x14ac:dyDescent="0.25">
      <c r="A8" s="9">
        <v>45299</v>
      </c>
      <c r="B8" t="s">
        <v>376</v>
      </c>
      <c r="C8">
        <v>2020</v>
      </c>
    </row>
    <row r="9" spans="1:5" x14ac:dyDescent="0.25">
      <c r="A9" s="9">
        <v>45300</v>
      </c>
      <c r="B9" t="s">
        <v>376</v>
      </c>
      <c r="C9">
        <v>2020</v>
      </c>
    </row>
    <row r="10" spans="1:5" x14ac:dyDescent="0.25">
      <c r="A10" s="9">
        <v>45301</v>
      </c>
      <c r="B10" t="s">
        <v>376</v>
      </c>
      <c r="C10">
        <v>2020</v>
      </c>
    </row>
    <row r="11" spans="1:5" x14ac:dyDescent="0.25">
      <c r="A11" s="9">
        <v>45302</v>
      </c>
      <c r="B11" t="s">
        <v>376</v>
      </c>
      <c r="C11">
        <v>2020</v>
      </c>
    </row>
    <row r="14" spans="1:5" x14ac:dyDescent="0.25">
      <c r="A14" t="s">
        <v>1</v>
      </c>
      <c r="B14" t="s">
        <v>2</v>
      </c>
    </row>
    <row r="15" spans="1:5" x14ac:dyDescent="0.25">
      <c r="A15" t="s">
        <v>292</v>
      </c>
      <c r="B15" t="s">
        <v>11</v>
      </c>
      <c r="C15" t="str">
        <f>CONCATENATE(A15," ",B15)</f>
        <v>Donald   OConnell</v>
      </c>
      <c r="D15">
        <f>COUNTIF(A15:A32,"Pat")</f>
        <v>1</v>
      </c>
    </row>
    <row r="16" spans="1:5" x14ac:dyDescent="0.25">
      <c r="A16" t="s">
        <v>291</v>
      </c>
      <c r="B16" t="s">
        <v>16</v>
      </c>
      <c r="C16" t="str">
        <f t="shared" ref="C16:C32" si="0">CONCATENATE(A16," ",B16)</f>
        <v>Douglas   Grant</v>
      </c>
      <c r="D16">
        <f t="shared" ref="D16:D32" si="1">COUNTIF(A16:A33,"Pat")</f>
        <v>1</v>
      </c>
    </row>
    <row r="17" spans="1:4" x14ac:dyDescent="0.25">
      <c r="A17" t="s">
        <v>19</v>
      </c>
      <c r="B17" t="s">
        <v>20</v>
      </c>
      <c r="C17" t="str">
        <f t="shared" si="0"/>
        <v>Jennifer Whalen</v>
      </c>
      <c r="D17">
        <f t="shared" si="1"/>
        <v>1</v>
      </c>
    </row>
    <row r="18" spans="1:4" x14ac:dyDescent="0.25">
      <c r="A18" t="s">
        <v>24</v>
      </c>
      <c r="B18" t="s">
        <v>25</v>
      </c>
      <c r="C18" t="str">
        <f t="shared" si="0"/>
        <v>Michael Hartstein</v>
      </c>
      <c r="D18">
        <f t="shared" si="1"/>
        <v>1</v>
      </c>
    </row>
    <row r="19" spans="1:4" x14ac:dyDescent="0.25">
      <c r="A19" t="s">
        <v>29</v>
      </c>
      <c r="B19" t="s">
        <v>30</v>
      </c>
      <c r="C19" t="str">
        <f t="shared" si="0"/>
        <v>Pat Fay</v>
      </c>
      <c r="D19">
        <f t="shared" si="1"/>
        <v>1</v>
      </c>
    </row>
    <row r="20" spans="1:4" x14ac:dyDescent="0.25">
      <c r="A20" t="s">
        <v>34</v>
      </c>
      <c r="B20" t="s">
        <v>35</v>
      </c>
      <c r="C20" t="str">
        <f t="shared" si="0"/>
        <v>Susan Mavris</v>
      </c>
      <c r="D20">
        <f t="shared" si="1"/>
        <v>0</v>
      </c>
    </row>
    <row r="21" spans="1:4" x14ac:dyDescent="0.25">
      <c r="A21" t="s">
        <v>39</v>
      </c>
      <c r="B21" t="s">
        <v>40</v>
      </c>
      <c r="C21" t="str">
        <f t="shared" si="0"/>
        <v>Hermann Baer</v>
      </c>
      <c r="D21">
        <f t="shared" si="1"/>
        <v>0</v>
      </c>
    </row>
    <row r="22" spans="1:4" x14ac:dyDescent="0.25">
      <c r="A22" t="s">
        <v>44</v>
      </c>
      <c r="B22" t="s">
        <v>45</v>
      </c>
      <c r="C22" t="str">
        <f t="shared" si="0"/>
        <v>Shelley Higgins</v>
      </c>
      <c r="D22">
        <f t="shared" si="1"/>
        <v>0</v>
      </c>
    </row>
    <row r="23" spans="1:4" x14ac:dyDescent="0.25">
      <c r="A23" t="s">
        <v>49</v>
      </c>
      <c r="B23" t="s">
        <v>50</v>
      </c>
      <c r="C23" t="str">
        <f t="shared" si="0"/>
        <v>William Gietz</v>
      </c>
      <c r="D23">
        <f t="shared" si="1"/>
        <v>0</v>
      </c>
    </row>
    <row r="24" spans="1:4" x14ac:dyDescent="0.25">
      <c r="A24" t="s">
        <v>54</v>
      </c>
      <c r="B24" t="s">
        <v>55</v>
      </c>
      <c r="C24" t="str">
        <f t="shared" si="0"/>
        <v>Steven King</v>
      </c>
      <c r="D24">
        <f t="shared" si="1"/>
        <v>0</v>
      </c>
    </row>
    <row r="25" spans="1:4" x14ac:dyDescent="0.25">
      <c r="A25" t="s">
        <v>59</v>
      </c>
      <c r="B25" t="s">
        <v>60</v>
      </c>
      <c r="C25" t="str">
        <f t="shared" si="0"/>
        <v>Neena Kochhar</v>
      </c>
      <c r="D25">
        <f t="shared" si="1"/>
        <v>0</v>
      </c>
    </row>
    <row r="26" spans="1:4" x14ac:dyDescent="0.25">
      <c r="A26" t="s">
        <v>64</v>
      </c>
      <c r="B26" t="s">
        <v>65</v>
      </c>
      <c r="C26" t="str">
        <f t="shared" si="0"/>
        <v>Lex De Haan</v>
      </c>
      <c r="D26">
        <f t="shared" si="1"/>
        <v>0</v>
      </c>
    </row>
    <row r="27" spans="1:4" x14ac:dyDescent="0.25">
      <c r="A27" t="s">
        <v>68</v>
      </c>
      <c r="B27" t="s">
        <v>69</v>
      </c>
      <c r="C27" t="str">
        <f t="shared" si="0"/>
        <v>Alexander Hunold</v>
      </c>
      <c r="D27">
        <f t="shared" si="1"/>
        <v>0</v>
      </c>
    </row>
    <row r="28" spans="1:4" x14ac:dyDescent="0.25">
      <c r="A28" t="s">
        <v>73</v>
      </c>
      <c r="B28" t="s">
        <v>74</v>
      </c>
      <c r="C28" t="str">
        <f t="shared" si="0"/>
        <v>Bruce Ernst</v>
      </c>
      <c r="D28">
        <f t="shared" si="1"/>
        <v>0</v>
      </c>
    </row>
    <row r="29" spans="1:4" x14ac:dyDescent="0.25">
      <c r="A29" t="s">
        <v>77</v>
      </c>
      <c r="B29" t="s">
        <v>78</v>
      </c>
      <c r="C29" t="str">
        <f t="shared" si="0"/>
        <v>David Austin</v>
      </c>
      <c r="D29">
        <f t="shared" si="1"/>
        <v>0</v>
      </c>
    </row>
    <row r="30" spans="1:4" x14ac:dyDescent="0.25">
      <c r="A30" t="s">
        <v>81</v>
      </c>
      <c r="B30" t="s">
        <v>82</v>
      </c>
      <c r="C30" t="str">
        <f t="shared" si="0"/>
        <v>Valli Pataballa</v>
      </c>
      <c r="D30">
        <f t="shared" si="1"/>
        <v>0</v>
      </c>
    </row>
    <row r="31" spans="1:4" x14ac:dyDescent="0.25">
      <c r="A31" t="s">
        <v>85</v>
      </c>
      <c r="B31" t="s">
        <v>86</v>
      </c>
      <c r="C31" t="str">
        <f t="shared" si="0"/>
        <v>Diana Lorentz</v>
      </c>
      <c r="D31">
        <f t="shared" si="1"/>
        <v>0</v>
      </c>
    </row>
    <row r="32" spans="1:4" x14ac:dyDescent="0.25">
      <c r="A32" t="s">
        <v>89</v>
      </c>
      <c r="B32" t="s">
        <v>90</v>
      </c>
      <c r="C32" t="str">
        <f t="shared" si="0"/>
        <v>Nancy Greenberg</v>
      </c>
      <c r="D32">
        <f t="shared" si="1"/>
        <v>0</v>
      </c>
    </row>
    <row r="33" spans="1:13" x14ac:dyDescent="0.25">
      <c r="M33" t="s">
        <v>382</v>
      </c>
    </row>
    <row r="34" spans="1:13" x14ac:dyDescent="0.25">
      <c r="C34" s="8" t="s">
        <v>386</v>
      </c>
      <c r="M34" t="s">
        <v>383</v>
      </c>
    </row>
    <row r="35" spans="1:13" x14ac:dyDescent="0.25">
      <c r="A35" s="7" t="s">
        <v>378</v>
      </c>
      <c r="B35" s="7" t="s">
        <v>330</v>
      </c>
      <c r="C35" s="7" t="s">
        <v>379</v>
      </c>
      <c r="D35" s="7" t="s">
        <v>380</v>
      </c>
      <c r="E35" s="7" t="s">
        <v>381</v>
      </c>
      <c r="M35" t="s">
        <v>384</v>
      </c>
    </row>
    <row r="36" spans="1:13" x14ac:dyDescent="0.25">
      <c r="A36" s="7">
        <v>1</v>
      </c>
      <c r="B36" s="7"/>
      <c r="C36" s="7" t="s">
        <v>384</v>
      </c>
      <c r="D36" s="7">
        <v>67</v>
      </c>
      <c r="E36" s="7"/>
      <c r="M36" t="s">
        <v>385</v>
      </c>
    </row>
    <row r="37" spans="1:13" x14ac:dyDescent="0.25">
      <c r="A37" s="7">
        <v>1</v>
      </c>
      <c r="B37" s="7"/>
      <c r="C37" s="7" t="s">
        <v>384</v>
      </c>
      <c r="D37" s="7">
        <v>78</v>
      </c>
      <c r="E37" s="7"/>
    </row>
    <row r="38" spans="1:13" x14ac:dyDescent="0.25">
      <c r="A38" s="7">
        <v>1</v>
      </c>
      <c r="B38" s="7"/>
      <c r="C38" s="7" t="s">
        <v>383</v>
      </c>
      <c r="D38" s="7">
        <v>67</v>
      </c>
      <c r="E38" s="7"/>
    </row>
    <row r="39" spans="1:13" x14ac:dyDescent="0.25">
      <c r="A39" s="7">
        <v>1</v>
      </c>
      <c r="B39" s="7"/>
      <c r="C39" s="7" t="s">
        <v>383</v>
      </c>
      <c r="D39" s="7">
        <v>67</v>
      </c>
      <c r="E39" s="7"/>
    </row>
    <row r="40" spans="1:13" x14ac:dyDescent="0.25">
      <c r="A40" s="7">
        <v>1</v>
      </c>
      <c r="B40" s="7"/>
      <c r="C40" s="7" t="s">
        <v>384</v>
      </c>
      <c r="D40" s="7">
        <v>67</v>
      </c>
      <c r="E40" s="7"/>
    </row>
    <row r="41" spans="1:13" x14ac:dyDescent="0.25">
      <c r="A41" s="7">
        <v>1</v>
      </c>
      <c r="B41" s="7"/>
      <c r="C41" s="7"/>
      <c r="D41" s="7">
        <v>67</v>
      </c>
      <c r="E41" s="7"/>
    </row>
    <row r="42" spans="1:13" x14ac:dyDescent="0.25">
      <c r="A42" s="7">
        <v>1</v>
      </c>
      <c r="B42" s="7"/>
      <c r="C42" s="7"/>
      <c r="D42" s="7">
        <v>67</v>
      </c>
      <c r="E42" s="7"/>
    </row>
    <row r="43" spans="1:13" x14ac:dyDescent="0.25">
      <c r="A43" s="7">
        <v>1</v>
      </c>
      <c r="B43" s="7"/>
      <c r="C43" s="7"/>
      <c r="D43" s="7">
        <v>67</v>
      </c>
      <c r="E43" s="7"/>
    </row>
    <row r="44" spans="1:13" x14ac:dyDescent="0.25">
      <c r="A44" s="7">
        <v>1</v>
      </c>
      <c r="B44" s="7"/>
      <c r="C44" s="7"/>
      <c r="D44" s="7">
        <v>67</v>
      </c>
      <c r="E44" s="7"/>
    </row>
    <row r="45" spans="1:13" x14ac:dyDescent="0.25">
      <c r="A45" s="7">
        <v>1</v>
      </c>
      <c r="B45" s="7"/>
      <c r="C45" s="7"/>
      <c r="D45" s="7">
        <v>67</v>
      </c>
      <c r="E45" s="7"/>
    </row>
    <row r="46" spans="1:13" x14ac:dyDescent="0.25">
      <c r="A46" s="7">
        <v>1</v>
      </c>
      <c r="B46" s="7"/>
      <c r="C46" s="7"/>
      <c r="D46" s="7">
        <v>67</v>
      </c>
      <c r="E46" s="7"/>
    </row>
    <row r="47" spans="1:13" x14ac:dyDescent="0.25">
      <c r="A47" s="7">
        <v>1</v>
      </c>
      <c r="B47" s="7"/>
      <c r="C47" s="7"/>
      <c r="D47" s="7">
        <v>67</v>
      </c>
      <c r="E47" s="7"/>
    </row>
    <row r="48" spans="1:13" x14ac:dyDescent="0.25">
      <c r="A48" s="7">
        <v>101</v>
      </c>
      <c r="B48" s="7"/>
      <c r="C48" s="7"/>
      <c r="D48" s="7">
        <v>67</v>
      </c>
      <c r="E48" s="7"/>
    </row>
    <row r="49" spans="1:5" x14ac:dyDescent="0.25">
      <c r="A49" s="7">
        <v>1</v>
      </c>
      <c r="B49" s="7"/>
      <c r="C49" s="7"/>
      <c r="D49" s="7">
        <v>67</v>
      </c>
      <c r="E49" s="7"/>
    </row>
    <row r="50" spans="1:5" x14ac:dyDescent="0.25">
      <c r="A50" s="7">
        <v>1</v>
      </c>
      <c r="B50" s="7"/>
      <c r="C50" s="7"/>
      <c r="D50" s="7">
        <v>67</v>
      </c>
      <c r="E50" s="7"/>
    </row>
    <row r="51" spans="1:5" x14ac:dyDescent="0.25">
      <c r="A51" s="7">
        <v>1</v>
      </c>
      <c r="B51" s="7"/>
      <c r="C51" s="7"/>
      <c r="D51" s="7">
        <v>67</v>
      </c>
      <c r="E51" s="7"/>
    </row>
    <row r="54" spans="1:5" x14ac:dyDescent="0.25">
      <c r="A54" t="s">
        <v>387</v>
      </c>
      <c r="B54" t="s">
        <v>330</v>
      </c>
      <c r="C54" t="s">
        <v>388</v>
      </c>
    </row>
    <row r="55" spans="1:5" x14ac:dyDescent="0.25">
      <c r="A55">
        <v>12345</v>
      </c>
    </row>
    <row r="56" spans="1:5" x14ac:dyDescent="0.25">
      <c r="A56">
        <v>12345</v>
      </c>
    </row>
    <row r="57" spans="1:5" x14ac:dyDescent="0.25">
      <c r="A57">
        <v>12345</v>
      </c>
    </row>
    <row r="58" spans="1:5" x14ac:dyDescent="0.25">
      <c r="A58">
        <v>12345</v>
      </c>
    </row>
    <row r="59" spans="1:5" x14ac:dyDescent="0.25">
      <c r="A59">
        <v>12345</v>
      </c>
    </row>
    <row r="60" spans="1:5" x14ac:dyDescent="0.25">
      <c r="A60">
        <v>12345</v>
      </c>
    </row>
    <row r="61" spans="1:5" x14ac:dyDescent="0.25">
      <c r="A61">
        <v>12345</v>
      </c>
    </row>
    <row r="62" spans="1:5" x14ac:dyDescent="0.25">
      <c r="A62">
        <v>12345</v>
      </c>
    </row>
    <row r="63" spans="1:5" x14ac:dyDescent="0.25">
      <c r="A63">
        <v>12345</v>
      </c>
    </row>
    <row r="64" spans="1:5" x14ac:dyDescent="0.25">
      <c r="A64">
        <v>12345</v>
      </c>
    </row>
    <row r="65" spans="1:1" x14ac:dyDescent="0.25">
      <c r="A65">
        <v>12345</v>
      </c>
    </row>
    <row r="66" spans="1:1" x14ac:dyDescent="0.25">
      <c r="A66">
        <v>12345</v>
      </c>
    </row>
    <row r="67" spans="1:1" x14ac:dyDescent="0.25">
      <c r="A67">
        <v>12345</v>
      </c>
    </row>
    <row r="68" spans="1:1" x14ac:dyDescent="0.25">
      <c r="A68">
        <v>12345</v>
      </c>
    </row>
    <row r="69" spans="1:1" x14ac:dyDescent="0.25">
      <c r="A69">
        <v>12345</v>
      </c>
    </row>
    <row r="70" spans="1:1" x14ac:dyDescent="0.25">
      <c r="A70">
        <v>12345</v>
      </c>
    </row>
    <row r="71" spans="1:1" x14ac:dyDescent="0.25">
      <c r="A71">
        <v>12345</v>
      </c>
    </row>
    <row r="72" spans="1:1" x14ac:dyDescent="0.25">
      <c r="A72">
        <v>12345</v>
      </c>
    </row>
    <row r="73" spans="1:1" x14ac:dyDescent="0.25">
      <c r="A73">
        <v>12345</v>
      </c>
    </row>
    <row r="74" spans="1:1" x14ac:dyDescent="0.25">
      <c r="A74">
        <v>12345</v>
      </c>
    </row>
    <row r="75" spans="1:1" x14ac:dyDescent="0.25">
      <c r="A75">
        <v>12345</v>
      </c>
    </row>
    <row r="82" spans="1:12" ht="15.75" thickBot="1" x14ac:dyDescent="0.3"/>
    <row r="83" spans="1:12" x14ac:dyDescent="0.25">
      <c r="B83" s="55" t="s">
        <v>389</v>
      </c>
      <c r="C83" s="55"/>
      <c r="J83" s="35" t="s">
        <v>434</v>
      </c>
      <c r="K83" s="36"/>
      <c r="L83" s="37">
        <v>10000</v>
      </c>
    </row>
    <row r="84" spans="1:12" x14ac:dyDescent="0.25">
      <c r="J84" s="38" t="s">
        <v>435</v>
      </c>
      <c r="K84" s="7"/>
      <c r="L84" s="39">
        <v>-201325.992</v>
      </c>
    </row>
    <row r="85" spans="1:12" x14ac:dyDescent="0.25">
      <c r="A85" t="s">
        <v>390</v>
      </c>
      <c r="B85">
        <v>533.33333333333508</v>
      </c>
      <c r="J85" s="38" t="s">
        <v>436</v>
      </c>
      <c r="K85" s="7"/>
      <c r="L85" s="40">
        <v>4000</v>
      </c>
    </row>
    <row r="86" spans="1:12" x14ac:dyDescent="0.25">
      <c r="A86" t="s">
        <v>391</v>
      </c>
      <c r="B86">
        <v>0.62499999999999822</v>
      </c>
      <c r="J86" s="38"/>
      <c r="K86" s="7"/>
      <c r="L86" s="40"/>
    </row>
    <row r="87" spans="1:12" ht="15.75" thickBot="1" x14ac:dyDescent="0.3">
      <c r="A87" t="s">
        <v>393</v>
      </c>
      <c r="B87" s="20">
        <v>0.1</v>
      </c>
      <c r="C87" s="21"/>
      <c r="J87" s="41" t="s">
        <v>437</v>
      </c>
      <c r="K87" s="42"/>
      <c r="L87" s="43">
        <f>L85*12</f>
        <v>48000</v>
      </c>
    </row>
    <row r="88" spans="1:12" x14ac:dyDescent="0.25">
      <c r="A88" t="s">
        <v>392</v>
      </c>
      <c r="B88">
        <f>(B86-(B86*B87))*B85</f>
        <v>300.00000000000017</v>
      </c>
      <c r="C88">
        <v>300</v>
      </c>
    </row>
    <row r="89" spans="1:12" ht="15.75" thickBot="1" x14ac:dyDescent="0.3"/>
    <row r="90" spans="1:12" x14ac:dyDescent="0.25">
      <c r="H90" s="60" t="s">
        <v>449</v>
      </c>
      <c r="I90" s="58" t="s">
        <v>450</v>
      </c>
      <c r="J90" s="59"/>
      <c r="K90" t="s">
        <v>452</v>
      </c>
    </row>
    <row r="91" spans="1:12" ht="15.75" thickBot="1" x14ac:dyDescent="0.3">
      <c r="B91" t="s">
        <v>398</v>
      </c>
      <c r="C91" t="s">
        <v>399</v>
      </c>
      <c r="D91" t="s">
        <v>400</v>
      </c>
      <c r="H91" s="61"/>
      <c r="I91" s="56" t="s">
        <v>451</v>
      </c>
      <c r="J91" s="57"/>
      <c r="K91" t="s">
        <v>453</v>
      </c>
    </row>
    <row r="92" spans="1:12" x14ac:dyDescent="0.25">
      <c r="A92" t="s">
        <v>394</v>
      </c>
      <c r="B92">
        <v>100000</v>
      </c>
      <c r="C92" s="20">
        <v>0.1</v>
      </c>
      <c r="D92">
        <f>B92*C92</f>
        <v>10000</v>
      </c>
    </row>
    <row r="93" spans="1:12" x14ac:dyDescent="0.25">
      <c r="A93" t="s">
        <v>395</v>
      </c>
      <c r="B93">
        <v>150000</v>
      </c>
      <c r="C93" s="20">
        <v>0.15</v>
      </c>
      <c r="D93">
        <f t="shared" ref="D93:D95" si="2">B93*C93</f>
        <v>22500</v>
      </c>
    </row>
    <row r="94" spans="1:12" x14ac:dyDescent="0.25">
      <c r="A94" t="s">
        <v>396</v>
      </c>
      <c r="B94">
        <v>50000</v>
      </c>
      <c r="C94" s="20">
        <v>0.12</v>
      </c>
      <c r="D94">
        <f t="shared" si="2"/>
        <v>6000</v>
      </c>
    </row>
    <row r="95" spans="1:12" x14ac:dyDescent="0.25">
      <c r="A95" t="s">
        <v>397</v>
      </c>
      <c r="B95">
        <v>76666.666666666686</v>
      </c>
      <c r="C95" s="20">
        <v>0.15</v>
      </c>
      <c r="D95">
        <f t="shared" si="2"/>
        <v>11500.000000000002</v>
      </c>
    </row>
    <row r="96" spans="1:12" x14ac:dyDescent="0.25">
      <c r="A96" t="s">
        <v>401</v>
      </c>
      <c r="D96">
        <f>SUM(D92:D95)</f>
        <v>50000</v>
      </c>
    </row>
    <row r="97" spans="1:17" ht="15.75" thickBot="1" x14ac:dyDescent="0.3">
      <c r="N97" t="s">
        <v>448</v>
      </c>
      <c r="O97" t="s">
        <v>441</v>
      </c>
      <c r="P97" t="s">
        <v>447</v>
      </c>
      <c r="Q97" t="s">
        <v>446</v>
      </c>
    </row>
    <row r="98" spans="1:17" x14ac:dyDescent="0.25">
      <c r="H98" s="35" t="s">
        <v>434</v>
      </c>
      <c r="I98" s="36"/>
      <c r="J98" s="37">
        <v>10000</v>
      </c>
      <c r="N98">
        <v>4</v>
      </c>
      <c r="O98" t="s">
        <v>445</v>
      </c>
      <c r="P98" t="s">
        <v>298</v>
      </c>
      <c r="Q98">
        <v>99</v>
      </c>
    </row>
    <row r="99" spans="1:17" x14ac:dyDescent="0.25">
      <c r="A99" t="s">
        <v>402</v>
      </c>
      <c r="B99">
        <v>1750</v>
      </c>
      <c r="H99" s="38" t="s">
        <v>435</v>
      </c>
      <c r="I99" s="7"/>
      <c r="J99" s="39">
        <v>0.6</v>
      </c>
      <c r="N99">
        <v>5</v>
      </c>
      <c r="O99" t="s">
        <v>99</v>
      </c>
      <c r="P99" t="s">
        <v>298</v>
      </c>
      <c r="Q99">
        <v>98</v>
      </c>
    </row>
    <row r="100" spans="1:17" x14ac:dyDescent="0.25">
      <c r="A100" t="s">
        <v>248</v>
      </c>
      <c r="B100">
        <v>25</v>
      </c>
      <c r="H100" s="38" t="s">
        <v>436</v>
      </c>
      <c r="I100" s="7"/>
      <c r="J100" s="40">
        <v>4000</v>
      </c>
      <c r="N100">
        <v>1</v>
      </c>
      <c r="O100" t="s">
        <v>442</v>
      </c>
      <c r="P100" t="s">
        <v>298</v>
      </c>
      <c r="Q100">
        <v>87</v>
      </c>
    </row>
    <row r="101" spans="1:17" x14ac:dyDescent="0.25">
      <c r="A101" t="s">
        <v>403</v>
      </c>
      <c r="B101">
        <v>1500</v>
      </c>
      <c r="H101" s="38"/>
      <c r="I101" s="7"/>
      <c r="J101" s="40"/>
      <c r="N101">
        <v>2</v>
      </c>
      <c r="O101" t="s">
        <v>443</v>
      </c>
      <c r="P101" t="s">
        <v>298</v>
      </c>
      <c r="Q101">
        <v>65</v>
      </c>
    </row>
    <row r="102" spans="1:17" ht="15.75" thickBot="1" x14ac:dyDescent="0.3">
      <c r="A102" t="s">
        <v>404</v>
      </c>
      <c r="B102" s="20">
        <v>0.1</v>
      </c>
      <c r="H102" s="41" t="s">
        <v>437</v>
      </c>
      <c r="I102" s="42"/>
      <c r="J102" s="43">
        <f>J100*12</f>
        <v>48000</v>
      </c>
      <c r="N102">
        <v>3</v>
      </c>
      <c r="O102" t="s">
        <v>444</v>
      </c>
      <c r="P102" t="s">
        <v>298</v>
      </c>
      <c r="Q102">
        <v>34</v>
      </c>
    </row>
    <row r="103" spans="1:17" x14ac:dyDescent="0.25">
      <c r="C103" s="8" t="s">
        <v>406</v>
      </c>
    </row>
    <row r="104" spans="1:17" x14ac:dyDescent="0.25">
      <c r="A104" s="8" t="s">
        <v>405</v>
      </c>
      <c r="C104">
        <f>(B99-(B99*B102))*B100</f>
        <v>39375</v>
      </c>
      <c r="J104" t="s">
        <v>438</v>
      </c>
    </row>
    <row r="105" spans="1:17" x14ac:dyDescent="0.25">
      <c r="B105" s="20">
        <v>0.1</v>
      </c>
      <c r="C105">
        <f t="dataTable" ref="C105:C111" dt2D="0" dtr="0" r1="B102" ca="1"/>
        <v>39375</v>
      </c>
      <c r="H105" t="s">
        <v>439</v>
      </c>
      <c r="I105" s="44">
        <v>48000</v>
      </c>
      <c r="J105" s="45">
        <v>0.1</v>
      </c>
      <c r="K105" s="45">
        <v>0.2</v>
      </c>
      <c r="L105" s="45">
        <v>0.3</v>
      </c>
    </row>
    <row r="106" spans="1:17" x14ac:dyDescent="0.25">
      <c r="B106" s="20">
        <v>0.15</v>
      </c>
      <c r="C106">
        <v>37187.5</v>
      </c>
      <c r="H106" t="s">
        <v>440</v>
      </c>
      <c r="I106" s="44">
        <v>10000</v>
      </c>
      <c r="J106" s="44">
        <f t="dataTable" ref="J106:L108" dt2D="1" dtr="1" r1="J99" r2="J98"/>
        <v>48000</v>
      </c>
      <c r="K106" s="44">
        <v>48000</v>
      </c>
      <c r="L106" s="44">
        <v>48000</v>
      </c>
    </row>
    <row r="107" spans="1:17" x14ac:dyDescent="0.25">
      <c r="B107" s="20">
        <v>0.2</v>
      </c>
      <c r="C107">
        <v>35000</v>
      </c>
      <c r="I107" s="44">
        <v>12000</v>
      </c>
      <c r="J107" s="44">
        <v>48000</v>
      </c>
      <c r="K107" s="44">
        <v>48000</v>
      </c>
      <c r="L107" s="44">
        <v>48000</v>
      </c>
    </row>
    <row r="108" spans="1:17" x14ac:dyDescent="0.25">
      <c r="B108" s="20">
        <v>0.25</v>
      </c>
      <c r="C108">
        <v>32812.5</v>
      </c>
      <c r="I108" s="44">
        <v>13000</v>
      </c>
      <c r="J108" s="44">
        <v>48000</v>
      </c>
      <c r="K108" s="44">
        <v>48000</v>
      </c>
      <c r="L108" s="44">
        <v>48000</v>
      </c>
    </row>
    <row r="109" spans="1:17" x14ac:dyDescent="0.25">
      <c r="B109" s="20">
        <v>0.3</v>
      </c>
      <c r="C109">
        <v>30625</v>
      </c>
    </row>
    <row r="110" spans="1:17" ht="18.75" x14ac:dyDescent="0.25">
      <c r="B110" s="20">
        <v>0.35</v>
      </c>
      <c r="C110">
        <v>28437.5</v>
      </c>
      <c r="L110" s="46" t="s">
        <v>454</v>
      </c>
    </row>
    <row r="111" spans="1:17" x14ac:dyDescent="0.25">
      <c r="B111" s="20">
        <v>0.4</v>
      </c>
      <c r="C111">
        <v>26250</v>
      </c>
    </row>
    <row r="112" spans="1:17" x14ac:dyDescent="0.25">
      <c r="G112" s="8" t="s">
        <v>408</v>
      </c>
      <c r="H112" s="8"/>
      <c r="I112" s="8"/>
      <c r="J112" s="8"/>
      <c r="K112" s="8"/>
      <c r="L112" s="8"/>
      <c r="M112" s="8"/>
      <c r="N112" s="8"/>
    </row>
    <row r="113" spans="1:10" x14ac:dyDescent="0.25">
      <c r="A113" t="s">
        <v>407</v>
      </c>
    </row>
    <row r="114" spans="1:10" x14ac:dyDescent="0.25">
      <c r="B114">
        <f>((B99-(B99*B102))-B101)*B100</f>
        <v>1875</v>
      </c>
      <c r="C114">
        <v>1750</v>
      </c>
      <c r="D114">
        <v>2000</v>
      </c>
      <c r="E114">
        <v>2500</v>
      </c>
      <c r="F114">
        <v>3000</v>
      </c>
      <c r="G114">
        <v>3500</v>
      </c>
      <c r="H114">
        <v>4000</v>
      </c>
      <c r="I114">
        <v>4500</v>
      </c>
      <c r="J114">
        <v>5000</v>
      </c>
    </row>
    <row r="115" spans="1:10" x14ac:dyDescent="0.25">
      <c r="B115" s="20">
        <v>0.1</v>
      </c>
      <c r="C115">
        <f t="dataTable" ref="C115:J121" dt2D="1" dtr="1" r1="B99" r2="B102"/>
        <v>1875</v>
      </c>
      <c r="D115">
        <v>7500</v>
      </c>
      <c r="E115">
        <v>18750</v>
      </c>
      <c r="F115">
        <v>30000</v>
      </c>
      <c r="G115">
        <v>41250</v>
      </c>
      <c r="H115">
        <v>52500</v>
      </c>
      <c r="I115">
        <v>63750</v>
      </c>
      <c r="J115">
        <v>75000</v>
      </c>
    </row>
    <row r="116" spans="1:10" x14ac:dyDescent="0.25">
      <c r="B116" s="20">
        <v>0.15</v>
      </c>
      <c r="C116">
        <v>-312.5</v>
      </c>
      <c r="D116">
        <v>5000</v>
      </c>
      <c r="E116">
        <v>15625</v>
      </c>
      <c r="F116">
        <v>26250</v>
      </c>
      <c r="G116">
        <v>36875</v>
      </c>
      <c r="H116">
        <v>47500</v>
      </c>
      <c r="I116">
        <v>58125</v>
      </c>
      <c r="J116">
        <v>68750</v>
      </c>
    </row>
    <row r="117" spans="1:10" x14ac:dyDescent="0.25">
      <c r="B117" s="20">
        <v>0.2</v>
      </c>
      <c r="C117">
        <v>-2500</v>
      </c>
      <c r="D117">
        <v>2500</v>
      </c>
      <c r="E117">
        <v>12500</v>
      </c>
      <c r="F117">
        <v>22500</v>
      </c>
      <c r="G117">
        <v>32500</v>
      </c>
      <c r="H117">
        <v>42500</v>
      </c>
      <c r="I117">
        <v>52500</v>
      </c>
      <c r="J117">
        <v>62500</v>
      </c>
    </row>
    <row r="118" spans="1:10" x14ac:dyDescent="0.25">
      <c r="B118" s="20">
        <v>0.25</v>
      </c>
      <c r="C118">
        <v>-4687.5</v>
      </c>
      <c r="D118">
        <v>0</v>
      </c>
      <c r="E118">
        <v>9375</v>
      </c>
      <c r="F118">
        <v>18750</v>
      </c>
      <c r="G118">
        <v>28125</v>
      </c>
      <c r="H118">
        <v>37500</v>
      </c>
      <c r="I118">
        <v>46875</v>
      </c>
      <c r="J118">
        <v>56250</v>
      </c>
    </row>
    <row r="119" spans="1:10" x14ac:dyDescent="0.25">
      <c r="B119" s="20">
        <v>0.3</v>
      </c>
      <c r="C119">
        <v>-6875</v>
      </c>
      <c r="D119">
        <v>-2500</v>
      </c>
      <c r="E119">
        <v>6250</v>
      </c>
      <c r="F119">
        <v>15000</v>
      </c>
      <c r="G119">
        <v>23750</v>
      </c>
      <c r="H119">
        <v>32500</v>
      </c>
      <c r="I119">
        <v>41250</v>
      </c>
      <c r="J119">
        <v>50000</v>
      </c>
    </row>
    <row r="120" spans="1:10" x14ac:dyDescent="0.25">
      <c r="B120" s="20">
        <v>0.35</v>
      </c>
      <c r="C120">
        <v>-9062.5</v>
      </c>
      <c r="D120">
        <v>-5000</v>
      </c>
      <c r="E120">
        <v>3125</v>
      </c>
      <c r="F120">
        <v>11250</v>
      </c>
      <c r="G120">
        <v>19375</v>
      </c>
      <c r="H120">
        <v>27500</v>
      </c>
      <c r="I120">
        <v>35625</v>
      </c>
      <c r="J120">
        <v>43750</v>
      </c>
    </row>
    <row r="121" spans="1:10" x14ac:dyDescent="0.25">
      <c r="B121" s="20">
        <v>0.4</v>
      </c>
      <c r="C121">
        <v>-11250</v>
      </c>
      <c r="D121">
        <v>-7500</v>
      </c>
      <c r="E121">
        <v>0</v>
      </c>
      <c r="F121">
        <v>7500</v>
      </c>
      <c r="G121">
        <v>15000</v>
      </c>
      <c r="H121">
        <v>22500</v>
      </c>
      <c r="I121">
        <v>30000</v>
      </c>
      <c r="J121">
        <v>37500</v>
      </c>
    </row>
    <row r="123" spans="1:10" x14ac:dyDescent="0.25">
      <c r="B123" s="8" t="s">
        <v>415</v>
      </c>
      <c r="C123" s="8"/>
    </row>
    <row r="125" spans="1:10" x14ac:dyDescent="0.25">
      <c r="A125" t="s">
        <v>409</v>
      </c>
      <c r="C125" t="s">
        <v>410</v>
      </c>
    </row>
    <row r="126" spans="1:10" x14ac:dyDescent="0.25">
      <c r="A126">
        <v>100</v>
      </c>
      <c r="C126" s="20">
        <v>0.6</v>
      </c>
    </row>
    <row r="128" spans="1:10" x14ac:dyDescent="0.25">
      <c r="B128" t="s">
        <v>411</v>
      </c>
      <c r="D128" t="s">
        <v>412</v>
      </c>
    </row>
    <row r="129" spans="1:9" x14ac:dyDescent="0.25">
      <c r="A129" t="s">
        <v>413</v>
      </c>
      <c r="B129">
        <f>A126*C126</f>
        <v>60</v>
      </c>
      <c r="D129">
        <v>50</v>
      </c>
    </row>
    <row r="130" spans="1:9" x14ac:dyDescent="0.25">
      <c r="A130" t="s">
        <v>414</v>
      </c>
      <c r="B130">
        <f>A126-B129</f>
        <v>40</v>
      </c>
      <c r="D130">
        <v>20</v>
      </c>
    </row>
    <row r="131" spans="1:9" x14ac:dyDescent="0.25">
      <c r="B131" t="s">
        <v>407</v>
      </c>
      <c r="D131">
        <f>(B129*D129)+B130*D130</f>
        <v>3800</v>
      </c>
    </row>
    <row r="135" spans="1:9" x14ac:dyDescent="0.25">
      <c r="I135" s="6"/>
    </row>
    <row r="136" spans="1:9" x14ac:dyDescent="0.25">
      <c r="A136" t="s">
        <v>431</v>
      </c>
      <c r="B136" t="s">
        <v>432</v>
      </c>
      <c r="I136" s="6"/>
    </row>
    <row r="138" spans="1:9" x14ac:dyDescent="0.25">
      <c r="A138" t="s">
        <v>433</v>
      </c>
    </row>
    <row r="140" spans="1:9" x14ac:dyDescent="0.25">
      <c r="A140" t="s">
        <v>434</v>
      </c>
      <c r="C140">
        <v>10000</v>
      </c>
    </row>
    <row r="141" spans="1:9" x14ac:dyDescent="0.25">
      <c r="A141" t="s">
        <v>435</v>
      </c>
      <c r="C141" s="20">
        <v>0.4</v>
      </c>
    </row>
    <row r="142" spans="1:9" x14ac:dyDescent="0.25">
      <c r="A142" t="s">
        <v>436</v>
      </c>
      <c r="C142">
        <v>40000</v>
      </c>
    </row>
    <row r="144" spans="1:9" x14ac:dyDescent="0.25">
      <c r="A144" t="s">
        <v>437</v>
      </c>
      <c r="C144">
        <f>C142*12</f>
        <v>480000</v>
      </c>
    </row>
  </sheetData>
  <scenarios current="5" show="5" sqref="C144">
    <scenario name="Highest 60%" locked="1" count="1" user="Hari" comment="Created by Hari on 15-03-2024">
      <inputCells r="C126" val="0.6" numFmtId="9"/>
    </scenario>
    <scenario name="Highest 70%" locked="1" count="1" user="Hari" comment="Created by Hari on 15-03-2024_x000a_">
      <inputCells r="C126" val="0.7" numFmtId="9"/>
    </scenario>
    <scenario name="HIghest 80%" locked="1" count="1" user="Hari" comment="Created by Hari on 15-03-2024">
      <inputCells r="C126" val="0.8" numFmtId="9"/>
    </scenario>
    <scenario name="Highest 90%" locked="1" count="1" user="Hari" comment="Created by Hari on 15-03-2024">
      <inputCells r="C126" val="0.9" numFmtId="9"/>
    </scenario>
    <scenario name="Original Values" locked="1" count="2" user="Hari" comment="Created by Hari on 16-03-2024">
      <inputCells r="C140" val="10000"/>
      <inputCells r="C141" val="0.6" numFmtId="9"/>
    </scenario>
    <scenario name="High Saving" locked="1" count="2" user="Hari" comment="Created by Hari on 16-03-2024_x000a_">
      <inputCells r="C140" val="10000"/>
      <inputCells r="C141" val="0.4" numFmtId="9"/>
    </scenario>
  </scenarios>
  <autoFilter ref="N97:Q102" xr:uid="{00000000-0009-0000-0000-000007000000}"/>
  <sortState xmlns:xlrd2="http://schemas.microsoft.com/office/spreadsheetml/2017/richdata2" ref="N98:P102">
    <sortCondition descending="1" ref="P98"/>
  </sortState>
  <customSheetViews>
    <customSheetView guid="{17B4BC62-A64E-4181-AF33-17F939339C15}" showAutoFilter="1" topLeftCell="A85">
      <selection activeCell="D93" sqref="D93"/>
      <pageMargins left="0.7" right="0.7" top="0.75" bottom="0.75" header="0.3" footer="0.3"/>
      <autoFilter ref="N97:Q102" xr:uid="{00000000-0009-0000-0000-000007000000}"/>
    </customSheetView>
  </customSheetViews>
  <mergeCells count="4">
    <mergeCell ref="B83:C83"/>
    <mergeCell ref="I91:J91"/>
    <mergeCell ref="I90:J90"/>
    <mergeCell ref="H90:H91"/>
  </mergeCells>
  <dataValidations count="5">
    <dataValidation type="list" allowBlank="1" showInputMessage="1" showErrorMessage="1" sqref="C36:C40" xr:uid="{00000000-0002-0000-0700-000000000000}">
      <formula1>$M$33:$M$36</formula1>
    </dataValidation>
    <dataValidation type="whole" allowBlank="1" showInputMessage="1" showErrorMessage="1" promptTitle="Registration No" prompt="Please enter numbers from 1 to till 101" sqref="A37:A51" xr:uid="{00000000-0002-0000-0700-000001000000}">
      <formula1>1</formula1>
      <formula2>101</formula2>
    </dataValidation>
    <dataValidation type="whole" allowBlank="1" showInputMessage="1" showErrorMessage="1" errorTitle="Error" error="Plz enter no between 1 to 101" promptTitle="Registration No" prompt="Please enter numbers from 1 to till 101" sqref="A36" xr:uid="{00000000-0002-0000-0700-000002000000}">
      <formula1>1</formula1>
      <formula2>101</formula2>
    </dataValidation>
    <dataValidation type="custom" allowBlank="1" showInputMessage="1" showErrorMessage="1" sqref="A55:A75" xr:uid="{00000000-0002-0000-0700-000003000000}">
      <formula1>COUNTIF(A55:A82,A55)&lt;=1</formula1>
    </dataValidation>
    <dataValidation type="custom" allowBlank="1" showInputMessage="1" showErrorMessage="1" sqref="D36:D51" xr:uid="{00000000-0002-0000-0700-000004000000}">
      <formula1>D36:D37&gt;60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T51"/>
  <sheetViews>
    <sheetView tabSelected="1" topLeftCell="D1" workbookViewId="0">
      <selection activeCell="I19" sqref="I19"/>
    </sheetView>
  </sheetViews>
  <sheetFormatPr defaultRowHeight="15" x14ac:dyDescent="0.25"/>
  <cols>
    <col min="1" max="1" width="13.140625" style="52" bestFit="1" customWidth="1"/>
    <col min="2" max="2" width="12.140625" style="52" bestFit="1" customWidth="1"/>
    <col min="3" max="3" width="11.5703125" style="52" bestFit="1" customWidth="1"/>
    <col min="4" max="4" width="11.42578125" style="52" bestFit="1" customWidth="1"/>
    <col min="5" max="5" width="16.140625" style="52" bestFit="1" customWidth="1"/>
    <col min="6" max="6" width="10.5703125" style="52" bestFit="1" customWidth="1"/>
    <col min="7" max="7" width="13.28515625" style="52" bestFit="1" customWidth="1"/>
    <col min="8" max="8" width="7.5703125" style="52" bestFit="1" customWidth="1"/>
    <col min="9" max="9" width="17.5703125" style="52" bestFit="1" customWidth="1"/>
    <col min="10" max="10" width="13.140625" style="52" bestFit="1" customWidth="1"/>
    <col min="11" max="11" width="16" style="52" bestFit="1" customWidth="1"/>
    <col min="12" max="12" width="7.140625" style="52" customWidth="1"/>
    <col min="13" max="13" width="9" style="52" customWidth="1"/>
    <col min="14" max="14" width="16" style="52" customWidth="1"/>
    <col min="15" max="16384" width="9.140625" style="50"/>
  </cols>
  <sheetData>
    <row r="1" spans="1:20" x14ac:dyDescent="0.25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O1" s="50">
        <f>SUM(H:H)</f>
        <v>292116</v>
      </c>
      <c r="S1" s="50" t="s">
        <v>279</v>
      </c>
      <c r="T1" s="50" t="str">
        <f>TRIM(R4)</f>
        <v>Jennifer Whalen</v>
      </c>
    </row>
    <row r="2" spans="1:20" x14ac:dyDescent="0.25">
      <c r="A2" s="51">
        <v>198</v>
      </c>
      <c r="B2" s="52" t="s">
        <v>280</v>
      </c>
      <c r="C2" s="52" t="s">
        <v>11</v>
      </c>
      <c r="D2" s="52" t="s">
        <v>12</v>
      </c>
      <c r="E2" s="52" t="s">
        <v>13</v>
      </c>
      <c r="F2" s="53">
        <v>39254</v>
      </c>
      <c r="G2" s="52" t="s">
        <v>14</v>
      </c>
      <c r="H2" s="52">
        <v>2600</v>
      </c>
      <c r="I2" s="52" t="s">
        <v>15</v>
      </c>
      <c r="J2" s="52">
        <v>124</v>
      </c>
      <c r="K2" s="52">
        <v>50</v>
      </c>
      <c r="L2" s="52" t="str">
        <f>IF(G2="SH_CLERK","10000","0")</f>
        <v>10000</v>
      </c>
      <c r="M2" s="52">
        <f>IF(AND(G2="SH_CLERK",D:D="DOCONNEL"),10000,0)</f>
        <v>10000</v>
      </c>
      <c r="N2" s="52">
        <f>IF(OR(G2="SH_CLERK",G2="AD_ASST"),10000,0)</f>
        <v>10000</v>
      </c>
      <c r="O2" s="50" t="s">
        <v>232</v>
      </c>
      <c r="P2" s="50">
        <f>SUMIF(G:G,"SH_CLERK",H:H)</f>
        <v>5200</v>
      </c>
      <c r="R2" s="50">
        <f>AVERAGE(H:H)</f>
        <v>5842.32</v>
      </c>
      <c r="T2" s="50">
        <f>LEN(T1)</f>
        <v>15</v>
      </c>
    </row>
    <row r="3" spans="1:20" x14ac:dyDescent="0.25">
      <c r="A3" s="51">
        <v>199</v>
      </c>
      <c r="B3" s="52" t="s">
        <v>281</v>
      </c>
      <c r="C3" s="52" t="s">
        <v>16</v>
      </c>
      <c r="D3" s="52" t="s">
        <v>17</v>
      </c>
      <c r="E3" s="52" t="s">
        <v>18</v>
      </c>
      <c r="F3" s="53">
        <v>39460</v>
      </c>
      <c r="G3" s="52" t="s">
        <v>14</v>
      </c>
      <c r="H3" s="52">
        <v>2600</v>
      </c>
      <c r="I3" s="52" t="s">
        <v>15</v>
      </c>
      <c r="J3" s="52">
        <v>124</v>
      </c>
      <c r="K3" s="52">
        <v>50</v>
      </c>
      <c r="L3" s="52" t="str">
        <f t="shared" ref="L3:L7" si="0">IF(G3="SH_CLERK","10000","0")</f>
        <v>10000</v>
      </c>
      <c r="M3" s="52">
        <f t="shared" ref="M3:M6" si="1">IF(AND(G3="SH_CLERK",D:D="DOCONNEL"),10000,0)</f>
        <v>0</v>
      </c>
      <c r="N3" s="52">
        <f t="shared" ref="N3:N12" si="2">IF(OR(G3="SH_CLERK",G3="AD_ASST"),10000,0)</f>
        <v>10000</v>
      </c>
      <c r="O3" s="50" t="s">
        <v>228</v>
      </c>
      <c r="P3" s="50">
        <f>COUNT(H:H)</f>
        <v>50</v>
      </c>
      <c r="R3" s="50">
        <f>AVERAGEIF(G:G,"SH_CLERK",H:H)</f>
        <v>2600</v>
      </c>
    </row>
    <row r="4" spans="1:20" x14ac:dyDescent="0.25">
      <c r="A4" s="51">
        <v>200</v>
      </c>
      <c r="B4" s="52" t="s">
        <v>19</v>
      </c>
      <c r="C4" s="52" t="s">
        <v>20</v>
      </c>
      <c r="D4" s="52" t="s">
        <v>21</v>
      </c>
      <c r="E4" s="52" t="s">
        <v>22</v>
      </c>
      <c r="F4" s="53">
        <v>37881</v>
      </c>
      <c r="G4" s="52" t="s">
        <v>23</v>
      </c>
      <c r="H4" s="52">
        <v>4400</v>
      </c>
      <c r="I4" s="52" t="s">
        <v>15</v>
      </c>
      <c r="J4" s="52">
        <v>101</v>
      </c>
      <c r="K4" s="52">
        <v>10</v>
      </c>
      <c r="L4" s="52" t="str">
        <f t="shared" si="0"/>
        <v>0</v>
      </c>
      <c r="M4" s="52">
        <f t="shared" si="1"/>
        <v>0</v>
      </c>
      <c r="N4" s="52">
        <f t="shared" si="2"/>
        <v>10000</v>
      </c>
      <c r="O4" s="50" t="s">
        <v>229</v>
      </c>
      <c r="P4" s="50">
        <f>COUNTA(G:G)-1</f>
        <v>50</v>
      </c>
      <c r="R4" s="50" t="str">
        <f>CONCATENATE(B4," ",C4)</f>
        <v>Jennifer Whalen</v>
      </c>
    </row>
    <row r="5" spans="1:20" x14ac:dyDescent="0.25">
      <c r="A5" s="51">
        <v>201</v>
      </c>
      <c r="B5" s="52" t="s">
        <v>24</v>
      </c>
      <c r="C5" s="52" t="s">
        <v>25</v>
      </c>
      <c r="D5" s="52" t="s">
        <v>26</v>
      </c>
      <c r="E5" s="52" t="s">
        <v>27</v>
      </c>
      <c r="F5" s="53">
        <v>38034</v>
      </c>
      <c r="G5" s="52" t="s">
        <v>28</v>
      </c>
      <c r="H5" s="52">
        <v>13000</v>
      </c>
      <c r="I5" s="52" t="s">
        <v>15</v>
      </c>
      <c r="J5" s="52">
        <v>100</v>
      </c>
      <c r="K5" s="52">
        <v>20</v>
      </c>
      <c r="L5" s="52" t="str">
        <f t="shared" si="0"/>
        <v>0</v>
      </c>
      <c r="M5" s="52">
        <f t="shared" si="1"/>
        <v>0</v>
      </c>
      <c r="N5" s="52">
        <f t="shared" si="2"/>
        <v>0</v>
      </c>
      <c r="O5" s="50" t="s">
        <v>235</v>
      </c>
      <c r="P5" s="50">
        <f>COUNTIF(G:G,"SH_CLERK")</f>
        <v>2</v>
      </c>
      <c r="R5" s="50" t="s">
        <v>479</v>
      </c>
      <c r="S5" s="50">
        <f>MAX(H:H)</f>
        <v>24000</v>
      </c>
    </row>
    <row r="6" spans="1:20" x14ac:dyDescent="0.25">
      <c r="A6" s="51">
        <v>202</v>
      </c>
      <c r="B6" s="52" t="s">
        <v>29</v>
      </c>
      <c r="C6" s="52" t="s">
        <v>30</v>
      </c>
      <c r="D6" s="52" t="s">
        <v>31</v>
      </c>
      <c r="E6" s="52" t="s">
        <v>32</v>
      </c>
      <c r="F6" s="53">
        <v>38581</v>
      </c>
      <c r="G6" s="52" t="s">
        <v>33</v>
      </c>
      <c r="H6" s="52">
        <v>6000</v>
      </c>
      <c r="I6" s="52" t="s">
        <v>15</v>
      </c>
      <c r="J6" s="52">
        <v>201</v>
      </c>
      <c r="K6" s="52">
        <v>20</v>
      </c>
      <c r="L6" s="52" t="str">
        <f t="shared" si="0"/>
        <v>0</v>
      </c>
      <c r="M6" s="52">
        <f t="shared" si="1"/>
        <v>0</v>
      </c>
      <c r="N6" s="52">
        <f t="shared" si="2"/>
        <v>0</v>
      </c>
      <c r="R6" s="50" t="s">
        <v>224</v>
      </c>
      <c r="S6" s="50">
        <f>MIN(H:H)</f>
        <v>0</v>
      </c>
    </row>
    <row r="7" spans="1:20" x14ac:dyDescent="0.25">
      <c r="A7" s="51">
        <v>203</v>
      </c>
      <c r="B7" s="52" t="s">
        <v>34</v>
      </c>
      <c r="C7" s="52" t="s">
        <v>35</v>
      </c>
      <c r="D7" s="52" t="s">
        <v>36</v>
      </c>
      <c r="E7" s="52" t="s">
        <v>37</v>
      </c>
      <c r="F7" s="53">
        <v>37414</v>
      </c>
      <c r="G7" s="52" t="s">
        <v>38</v>
      </c>
      <c r="H7" s="52">
        <v>6500</v>
      </c>
      <c r="I7" s="52" t="s">
        <v>15</v>
      </c>
      <c r="J7" s="52">
        <v>101</v>
      </c>
      <c r="K7" s="52">
        <v>40</v>
      </c>
      <c r="L7" s="52" t="str">
        <f t="shared" si="0"/>
        <v>0</v>
      </c>
      <c r="N7" s="52">
        <f t="shared" si="2"/>
        <v>0</v>
      </c>
    </row>
    <row r="8" spans="1:20" x14ac:dyDescent="0.25">
      <c r="A8" s="51">
        <v>204</v>
      </c>
      <c r="B8" s="52" t="s">
        <v>39</v>
      </c>
      <c r="C8" s="52" t="s">
        <v>40</v>
      </c>
      <c r="D8" s="52" t="s">
        <v>41</v>
      </c>
      <c r="E8" s="52" t="s">
        <v>42</v>
      </c>
      <c r="F8" s="53">
        <v>37414</v>
      </c>
      <c r="G8" s="52" t="s">
        <v>43</v>
      </c>
      <c r="H8" s="52">
        <v>10000</v>
      </c>
      <c r="I8" s="52" t="s">
        <v>15</v>
      </c>
      <c r="J8" s="52">
        <v>101</v>
      </c>
      <c r="K8" s="52">
        <v>70</v>
      </c>
      <c r="N8" s="52">
        <f t="shared" si="2"/>
        <v>0</v>
      </c>
    </row>
    <row r="9" spans="1:20" x14ac:dyDescent="0.25">
      <c r="A9" s="51">
        <v>205</v>
      </c>
      <c r="B9" s="52" t="s">
        <v>44</v>
      </c>
      <c r="C9" s="52" t="s">
        <v>45</v>
      </c>
      <c r="D9" s="52" t="s">
        <v>46</v>
      </c>
      <c r="E9" s="52" t="s">
        <v>47</v>
      </c>
      <c r="F9" s="53">
        <v>37414</v>
      </c>
      <c r="G9" s="52" t="s">
        <v>48</v>
      </c>
      <c r="H9" s="52">
        <v>12008</v>
      </c>
      <c r="I9" s="52" t="s">
        <v>15</v>
      </c>
      <c r="J9" s="52">
        <v>101</v>
      </c>
      <c r="K9" s="52">
        <v>110</v>
      </c>
      <c r="N9" s="52">
        <f t="shared" si="2"/>
        <v>0</v>
      </c>
    </row>
    <row r="10" spans="1:20" x14ac:dyDescent="0.25">
      <c r="A10" s="51">
        <v>206</v>
      </c>
      <c r="B10" s="52" t="s">
        <v>49</v>
      </c>
      <c r="C10" s="52" t="s">
        <v>50</v>
      </c>
      <c r="D10" s="52" t="s">
        <v>51</v>
      </c>
      <c r="E10" s="52" t="s">
        <v>52</v>
      </c>
      <c r="F10" s="53">
        <v>37414</v>
      </c>
      <c r="G10" s="52" t="s">
        <v>53</v>
      </c>
      <c r="H10" s="52">
        <v>8300</v>
      </c>
      <c r="I10" s="52" t="s">
        <v>15</v>
      </c>
      <c r="J10" s="52">
        <v>205</v>
      </c>
      <c r="K10" s="52">
        <v>110</v>
      </c>
      <c r="N10" s="52">
        <f t="shared" si="2"/>
        <v>0</v>
      </c>
    </row>
    <row r="11" spans="1:20" x14ac:dyDescent="0.25">
      <c r="A11" s="51">
        <v>100</v>
      </c>
      <c r="B11" s="52" t="s">
        <v>54</v>
      </c>
      <c r="C11" s="52" t="s">
        <v>55</v>
      </c>
      <c r="D11" s="52" t="s">
        <v>56</v>
      </c>
      <c r="E11" s="52" t="s">
        <v>57</v>
      </c>
      <c r="F11" s="53">
        <v>37789</v>
      </c>
      <c r="G11" s="52" t="s">
        <v>58</v>
      </c>
      <c r="H11" s="52">
        <v>24000</v>
      </c>
      <c r="I11" s="52" t="s">
        <v>15</v>
      </c>
      <c r="J11" s="52" t="s">
        <v>15</v>
      </c>
      <c r="K11" s="52">
        <v>90</v>
      </c>
      <c r="N11" s="52">
        <f t="shared" si="2"/>
        <v>0</v>
      </c>
    </row>
    <row r="12" spans="1:20" x14ac:dyDescent="0.25">
      <c r="A12" s="51">
        <v>101</v>
      </c>
      <c r="B12" s="52" t="s">
        <v>59</v>
      </c>
      <c r="C12" s="52" t="s">
        <v>60</v>
      </c>
      <c r="D12" s="52" t="s">
        <v>61</v>
      </c>
      <c r="E12" s="52" t="s">
        <v>62</v>
      </c>
      <c r="F12" s="53">
        <v>38616</v>
      </c>
      <c r="G12" s="52" t="s">
        <v>63</v>
      </c>
      <c r="H12" s="52">
        <v>17000</v>
      </c>
      <c r="I12" s="52" t="s">
        <v>15</v>
      </c>
      <c r="J12" s="52">
        <v>100</v>
      </c>
      <c r="K12" s="52">
        <v>90</v>
      </c>
      <c r="N12" s="52">
        <f t="shared" si="2"/>
        <v>0</v>
      </c>
    </row>
    <row r="13" spans="1:20" x14ac:dyDescent="0.25">
      <c r="A13" s="51">
        <v>102</v>
      </c>
      <c r="B13" s="52" t="s">
        <v>64</v>
      </c>
      <c r="C13" s="52" t="s">
        <v>65</v>
      </c>
      <c r="D13" s="52" t="s">
        <v>66</v>
      </c>
      <c r="E13" s="52" t="s">
        <v>67</v>
      </c>
      <c r="F13" s="53">
        <v>36904</v>
      </c>
      <c r="G13" s="52" t="s">
        <v>63</v>
      </c>
      <c r="H13" s="52">
        <v>0</v>
      </c>
      <c r="I13" s="52" t="s">
        <v>15</v>
      </c>
      <c r="J13" s="52">
        <v>100</v>
      </c>
      <c r="K13" s="52">
        <v>90</v>
      </c>
    </row>
    <row r="14" spans="1:20" x14ac:dyDescent="0.25">
      <c r="A14" s="51">
        <v>103</v>
      </c>
      <c r="B14" s="52" t="s">
        <v>68</v>
      </c>
      <c r="C14" s="52" t="s">
        <v>69</v>
      </c>
      <c r="D14" s="52" t="s">
        <v>70</v>
      </c>
      <c r="E14" s="52" t="s">
        <v>71</v>
      </c>
      <c r="F14" s="53">
        <v>38720</v>
      </c>
      <c r="G14" s="52" t="s">
        <v>72</v>
      </c>
      <c r="H14" s="52">
        <v>9000</v>
      </c>
      <c r="I14" s="52" t="s">
        <v>15</v>
      </c>
      <c r="J14" s="52">
        <v>102</v>
      </c>
      <c r="K14" s="52">
        <v>60</v>
      </c>
    </row>
    <row r="15" spans="1:20" x14ac:dyDescent="0.25">
      <c r="A15" s="51">
        <v>104</v>
      </c>
      <c r="B15" s="52" t="s">
        <v>73</v>
      </c>
      <c r="C15" s="52" t="s">
        <v>74</v>
      </c>
      <c r="D15" s="52" t="s">
        <v>75</v>
      </c>
      <c r="E15" s="52" t="s">
        <v>76</v>
      </c>
      <c r="F15" s="53">
        <v>39223</v>
      </c>
      <c r="G15" s="52" t="s">
        <v>72</v>
      </c>
      <c r="H15" s="52">
        <v>6000</v>
      </c>
      <c r="I15" s="52" t="s">
        <v>15</v>
      </c>
      <c r="J15" s="52">
        <v>103</v>
      </c>
      <c r="K15" s="52">
        <v>60</v>
      </c>
    </row>
    <row r="16" spans="1:20" x14ac:dyDescent="0.25">
      <c r="A16" s="51">
        <v>105</v>
      </c>
      <c r="B16" s="52" t="s">
        <v>77</v>
      </c>
      <c r="C16" s="52" t="s">
        <v>78</v>
      </c>
      <c r="D16" s="52" t="s">
        <v>79</v>
      </c>
      <c r="E16" s="52" t="s">
        <v>80</v>
      </c>
      <c r="F16" s="53">
        <v>38528</v>
      </c>
      <c r="G16" s="52" t="s">
        <v>72</v>
      </c>
      <c r="H16" s="52">
        <v>4800</v>
      </c>
      <c r="I16" s="52" t="s">
        <v>15</v>
      </c>
      <c r="J16" s="52">
        <v>103</v>
      </c>
      <c r="K16" s="52">
        <v>60</v>
      </c>
    </row>
    <row r="17" spans="1:11" x14ac:dyDescent="0.25">
      <c r="A17" s="51">
        <v>106</v>
      </c>
      <c r="B17" s="52" t="s">
        <v>81</v>
      </c>
      <c r="C17" s="52" t="s">
        <v>82</v>
      </c>
      <c r="D17" s="52" t="s">
        <v>83</v>
      </c>
      <c r="E17" s="52" t="s">
        <v>84</v>
      </c>
      <c r="F17" s="53">
        <v>38753</v>
      </c>
      <c r="G17" s="52" t="s">
        <v>72</v>
      </c>
      <c r="H17" s="52">
        <v>4800</v>
      </c>
      <c r="I17" s="52" t="s">
        <v>15</v>
      </c>
      <c r="J17" s="52">
        <v>103</v>
      </c>
      <c r="K17" s="52">
        <v>60</v>
      </c>
    </row>
    <row r="18" spans="1:11" x14ac:dyDescent="0.25">
      <c r="A18" s="51">
        <v>107</v>
      </c>
      <c r="B18" s="52" t="s">
        <v>85</v>
      </c>
      <c r="C18" s="52" t="s">
        <v>86</v>
      </c>
      <c r="D18" s="52" t="s">
        <v>87</v>
      </c>
      <c r="E18" s="52" t="s">
        <v>88</v>
      </c>
      <c r="F18" s="53">
        <v>39120</v>
      </c>
      <c r="G18" s="52" t="s">
        <v>72</v>
      </c>
      <c r="H18" s="52">
        <v>4200</v>
      </c>
      <c r="I18" s="52" t="s">
        <v>15</v>
      </c>
      <c r="J18" s="52">
        <v>103</v>
      </c>
      <c r="K18" s="52">
        <v>60</v>
      </c>
    </row>
    <row r="19" spans="1:11" x14ac:dyDescent="0.25">
      <c r="A19" s="51">
        <v>108</v>
      </c>
      <c r="B19" s="52" t="s">
        <v>89</v>
      </c>
      <c r="C19" s="52" t="s">
        <v>90</v>
      </c>
      <c r="D19" s="52" t="s">
        <v>91</v>
      </c>
      <c r="E19" s="52" t="s">
        <v>92</v>
      </c>
      <c r="F19" s="53">
        <v>37485</v>
      </c>
      <c r="G19" s="52" t="s">
        <v>93</v>
      </c>
      <c r="H19" s="52">
        <v>12008</v>
      </c>
      <c r="I19" s="52" t="s">
        <v>15</v>
      </c>
      <c r="J19" s="52">
        <v>101</v>
      </c>
      <c r="K19" s="52">
        <v>100</v>
      </c>
    </row>
    <row r="20" spans="1:11" x14ac:dyDescent="0.25">
      <c r="A20" s="51">
        <v>109</v>
      </c>
      <c r="B20" s="52" t="s">
        <v>94</v>
      </c>
      <c r="C20" s="52" t="s">
        <v>95</v>
      </c>
      <c r="D20" s="52" t="s">
        <v>96</v>
      </c>
      <c r="E20" s="52" t="s">
        <v>97</v>
      </c>
      <c r="F20" s="53">
        <v>37484</v>
      </c>
      <c r="G20" s="52" t="s">
        <v>98</v>
      </c>
      <c r="H20" s="52">
        <v>9000</v>
      </c>
      <c r="I20" s="52" t="s">
        <v>15</v>
      </c>
      <c r="J20" s="52">
        <v>108</v>
      </c>
      <c r="K20" s="52">
        <v>100</v>
      </c>
    </row>
    <row r="21" spans="1:11" x14ac:dyDescent="0.25">
      <c r="A21" s="51">
        <v>110</v>
      </c>
      <c r="B21" s="52" t="s">
        <v>99</v>
      </c>
      <c r="C21" s="52" t="s">
        <v>100</v>
      </c>
      <c r="D21" s="52" t="s">
        <v>101</v>
      </c>
      <c r="E21" s="52" t="s">
        <v>102</v>
      </c>
      <c r="F21" s="53">
        <v>38623</v>
      </c>
      <c r="G21" s="52" t="s">
        <v>98</v>
      </c>
      <c r="H21" s="52">
        <v>8200</v>
      </c>
      <c r="I21" s="52" t="s">
        <v>15</v>
      </c>
      <c r="J21" s="52">
        <v>108</v>
      </c>
      <c r="K21" s="52">
        <v>100</v>
      </c>
    </row>
    <row r="22" spans="1:11" x14ac:dyDescent="0.25">
      <c r="A22" s="51">
        <v>111</v>
      </c>
      <c r="B22" s="52" t="s">
        <v>103</v>
      </c>
      <c r="C22" s="52" t="s">
        <v>104</v>
      </c>
      <c r="D22" s="52" t="s">
        <v>105</v>
      </c>
      <c r="E22" s="52" t="s">
        <v>106</v>
      </c>
      <c r="F22" s="53">
        <v>38625</v>
      </c>
      <c r="G22" s="52" t="s">
        <v>98</v>
      </c>
      <c r="H22" s="52">
        <v>7700</v>
      </c>
      <c r="I22" s="52" t="s">
        <v>15</v>
      </c>
      <c r="J22" s="52">
        <v>108</v>
      </c>
      <c r="K22" s="52">
        <v>100</v>
      </c>
    </row>
    <row r="23" spans="1:11" x14ac:dyDescent="0.25">
      <c r="A23" s="51">
        <v>112</v>
      </c>
      <c r="B23" s="52" t="s">
        <v>107</v>
      </c>
      <c r="C23" s="52" t="s">
        <v>108</v>
      </c>
      <c r="D23" s="52" t="s">
        <v>109</v>
      </c>
      <c r="E23" s="52" t="s">
        <v>110</v>
      </c>
      <c r="F23" s="53">
        <v>38783</v>
      </c>
      <c r="G23" s="52" t="s">
        <v>98</v>
      </c>
      <c r="H23" s="52">
        <v>7800</v>
      </c>
      <c r="I23" s="52" t="s">
        <v>15</v>
      </c>
      <c r="J23" s="52">
        <v>108</v>
      </c>
      <c r="K23" s="52">
        <v>100</v>
      </c>
    </row>
    <row r="24" spans="1:11" x14ac:dyDescent="0.25">
      <c r="A24" s="51">
        <v>113</v>
      </c>
      <c r="B24" s="52" t="s">
        <v>111</v>
      </c>
      <c r="C24" s="52" t="s">
        <v>112</v>
      </c>
      <c r="D24" s="52" t="s">
        <v>113</v>
      </c>
      <c r="E24" s="52" t="s">
        <v>114</v>
      </c>
      <c r="F24" s="53">
        <v>39423</v>
      </c>
      <c r="G24" s="52" t="s">
        <v>98</v>
      </c>
      <c r="H24" s="52">
        <v>6900</v>
      </c>
      <c r="I24" s="52" t="s">
        <v>15</v>
      </c>
      <c r="J24" s="52">
        <v>108</v>
      </c>
      <c r="K24" s="52">
        <v>100</v>
      </c>
    </row>
    <row r="25" spans="1:11" x14ac:dyDescent="0.25">
      <c r="A25" s="51">
        <v>114</v>
      </c>
      <c r="B25" s="52" t="s">
        <v>115</v>
      </c>
      <c r="C25" s="52" t="s">
        <v>116</v>
      </c>
      <c r="D25" s="52" t="s">
        <v>117</v>
      </c>
      <c r="E25" s="52" t="s">
        <v>118</v>
      </c>
      <c r="F25" s="53">
        <v>37597</v>
      </c>
      <c r="G25" s="52" t="s">
        <v>119</v>
      </c>
      <c r="H25" s="52">
        <v>11000</v>
      </c>
      <c r="I25" s="52" t="s">
        <v>15</v>
      </c>
      <c r="J25" s="52">
        <v>100</v>
      </c>
      <c r="K25" s="52">
        <v>30</v>
      </c>
    </row>
    <row r="26" spans="1:11" x14ac:dyDescent="0.25">
      <c r="A26" s="51">
        <v>115</v>
      </c>
      <c r="B26" s="52" t="s">
        <v>68</v>
      </c>
      <c r="C26" s="52" t="s">
        <v>120</v>
      </c>
      <c r="D26" s="52" t="s">
        <v>121</v>
      </c>
      <c r="E26" s="52" t="s">
        <v>122</v>
      </c>
      <c r="F26" s="53">
        <v>37759</v>
      </c>
      <c r="G26" s="52" t="s">
        <v>123</v>
      </c>
      <c r="H26" s="52">
        <v>3100</v>
      </c>
      <c r="I26" s="52" t="s">
        <v>15</v>
      </c>
      <c r="J26" s="52">
        <v>114</v>
      </c>
      <c r="K26" s="52">
        <v>30</v>
      </c>
    </row>
    <row r="27" spans="1:11" x14ac:dyDescent="0.25">
      <c r="A27" s="51">
        <v>116</v>
      </c>
      <c r="B27" s="52" t="s">
        <v>124</v>
      </c>
      <c r="C27" s="52" t="s">
        <v>125</v>
      </c>
      <c r="D27" s="52" t="s">
        <v>126</v>
      </c>
      <c r="E27" s="52" t="s">
        <v>127</v>
      </c>
      <c r="F27" s="53">
        <v>38710</v>
      </c>
      <c r="G27" s="52" t="s">
        <v>123</v>
      </c>
      <c r="H27" s="52">
        <v>2900</v>
      </c>
      <c r="I27" s="52" t="s">
        <v>15</v>
      </c>
      <c r="J27" s="52">
        <v>114</v>
      </c>
      <c r="K27" s="52">
        <v>30</v>
      </c>
    </row>
    <row r="28" spans="1:11" x14ac:dyDescent="0.25">
      <c r="A28" s="51">
        <v>117</v>
      </c>
      <c r="B28" s="52" t="s">
        <v>128</v>
      </c>
      <c r="C28" s="52" t="s">
        <v>129</v>
      </c>
      <c r="D28" s="52" t="s">
        <v>130</v>
      </c>
      <c r="E28" s="52" t="s">
        <v>131</v>
      </c>
      <c r="F28" s="53">
        <v>38557</v>
      </c>
      <c r="G28" s="52" t="s">
        <v>123</v>
      </c>
      <c r="H28" s="52">
        <v>2800</v>
      </c>
      <c r="I28" s="52" t="s">
        <v>15</v>
      </c>
      <c r="J28" s="52">
        <v>114</v>
      </c>
      <c r="K28" s="52">
        <v>30</v>
      </c>
    </row>
    <row r="29" spans="1:11" x14ac:dyDescent="0.25">
      <c r="A29" s="51">
        <v>118</v>
      </c>
      <c r="B29" s="52" t="s">
        <v>132</v>
      </c>
      <c r="C29" s="52" t="s">
        <v>133</v>
      </c>
      <c r="D29" s="52" t="s">
        <v>134</v>
      </c>
      <c r="E29" s="52" t="s">
        <v>135</v>
      </c>
      <c r="F29" s="53">
        <v>39036</v>
      </c>
      <c r="G29" s="52" t="s">
        <v>123</v>
      </c>
      <c r="H29" s="52">
        <v>2600</v>
      </c>
      <c r="I29" s="52" t="s">
        <v>15</v>
      </c>
      <c r="J29" s="52">
        <v>114</v>
      </c>
      <c r="K29" s="52">
        <v>30</v>
      </c>
    </row>
    <row r="30" spans="1:11" x14ac:dyDescent="0.25">
      <c r="A30" s="51">
        <v>119</v>
      </c>
      <c r="B30" s="52" t="s">
        <v>136</v>
      </c>
      <c r="C30" s="52" t="s">
        <v>137</v>
      </c>
      <c r="D30" s="52" t="s">
        <v>138</v>
      </c>
      <c r="E30" s="52" t="s">
        <v>139</v>
      </c>
      <c r="F30" s="53">
        <v>39304</v>
      </c>
      <c r="G30" s="52" t="s">
        <v>123</v>
      </c>
      <c r="H30" s="52">
        <v>2500</v>
      </c>
      <c r="I30" s="52" t="s">
        <v>15</v>
      </c>
      <c r="J30" s="52">
        <v>114</v>
      </c>
      <c r="K30" s="52">
        <v>30</v>
      </c>
    </row>
    <row r="31" spans="1:11" x14ac:dyDescent="0.25">
      <c r="A31" s="51">
        <v>120</v>
      </c>
      <c r="B31" s="52" t="s">
        <v>140</v>
      </c>
      <c r="C31" s="52" t="s">
        <v>141</v>
      </c>
      <c r="D31" s="52" t="s">
        <v>142</v>
      </c>
      <c r="E31" s="52" t="s">
        <v>143</v>
      </c>
      <c r="F31" s="53">
        <v>38186</v>
      </c>
      <c r="G31" s="52" t="s">
        <v>144</v>
      </c>
      <c r="H31" s="52">
        <v>8000</v>
      </c>
      <c r="I31" s="52" t="s">
        <v>15</v>
      </c>
      <c r="J31" s="52">
        <v>100</v>
      </c>
      <c r="K31" s="52">
        <v>50</v>
      </c>
    </row>
    <row r="32" spans="1:11" x14ac:dyDescent="0.25">
      <c r="A32" s="51">
        <v>121</v>
      </c>
      <c r="B32" s="52" t="s">
        <v>145</v>
      </c>
      <c r="C32" s="52" t="s">
        <v>146</v>
      </c>
      <c r="D32" s="52" t="s">
        <v>147</v>
      </c>
      <c r="E32" s="52" t="s">
        <v>148</v>
      </c>
      <c r="F32" s="53">
        <v>38452</v>
      </c>
      <c r="G32" s="52" t="s">
        <v>144</v>
      </c>
      <c r="H32" s="52">
        <v>8200</v>
      </c>
      <c r="I32" s="52" t="s">
        <v>15</v>
      </c>
      <c r="J32" s="52">
        <v>100</v>
      </c>
      <c r="K32" s="52">
        <v>50</v>
      </c>
    </row>
    <row r="33" spans="1:11" x14ac:dyDescent="0.25">
      <c r="A33" s="51">
        <v>122</v>
      </c>
      <c r="B33" s="52" t="s">
        <v>149</v>
      </c>
      <c r="C33" s="52" t="s">
        <v>150</v>
      </c>
      <c r="D33" s="52" t="s">
        <v>151</v>
      </c>
      <c r="E33" s="52" t="s">
        <v>152</v>
      </c>
      <c r="F33" s="53">
        <v>37742</v>
      </c>
      <c r="G33" s="52" t="s">
        <v>144</v>
      </c>
      <c r="H33" s="52">
        <v>7900</v>
      </c>
      <c r="I33" s="52" t="s">
        <v>15</v>
      </c>
      <c r="J33" s="52">
        <v>100</v>
      </c>
      <c r="K33" s="52">
        <v>50</v>
      </c>
    </row>
    <row r="34" spans="1:11" x14ac:dyDescent="0.25">
      <c r="A34" s="51">
        <v>123</v>
      </c>
      <c r="B34" s="52" t="s">
        <v>153</v>
      </c>
      <c r="C34" s="52" t="s">
        <v>154</v>
      </c>
      <c r="D34" s="52" t="s">
        <v>155</v>
      </c>
      <c r="E34" s="52" t="s">
        <v>156</v>
      </c>
      <c r="F34" s="53">
        <v>38635</v>
      </c>
      <c r="G34" s="52" t="s">
        <v>144</v>
      </c>
      <c r="H34" s="52">
        <v>6500</v>
      </c>
      <c r="I34" s="52" t="s">
        <v>15</v>
      </c>
      <c r="J34" s="52">
        <v>100</v>
      </c>
      <c r="K34" s="52">
        <v>50</v>
      </c>
    </row>
    <row r="35" spans="1:11" x14ac:dyDescent="0.25">
      <c r="A35" s="51">
        <v>124</v>
      </c>
      <c r="B35" s="52" t="s">
        <v>157</v>
      </c>
      <c r="C35" s="52" t="s">
        <v>158</v>
      </c>
      <c r="D35" s="52" t="s">
        <v>159</v>
      </c>
      <c r="E35" s="52" t="s">
        <v>160</v>
      </c>
      <c r="F35" s="53">
        <v>39402</v>
      </c>
      <c r="G35" s="52" t="s">
        <v>144</v>
      </c>
      <c r="H35" s="52">
        <v>5800</v>
      </c>
      <c r="I35" s="52" t="s">
        <v>15</v>
      </c>
      <c r="J35" s="52">
        <v>100</v>
      </c>
      <c r="K35" s="52">
        <v>50</v>
      </c>
    </row>
    <row r="36" spans="1:11" x14ac:dyDescent="0.25">
      <c r="A36" s="51">
        <v>125</v>
      </c>
      <c r="B36" s="52" t="s">
        <v>161</v>
      </c>
      <c r="C36" s="52" t="s">
        <v>162</v>
      </c>
      <c r="D36" s="52" t="s">
        <v>163</v>
      </c>
      <c r="E36" s="52" t="s">
        <v>164</v>
      </c>
      <c r="F36" s="53">
        <v>38549</v>
      </c>
      <c r="G36" s="52" t="s">
        <v>165</v>
      </c>
      <c r="H36" s="52">
        <v>3200</v>
      </c>
      <c r="I36" s="52" t="s">
        <v>15</v>
      </c>
      <c r="J36" s="52">
        <v>120</v>
      </c>
      <c r="K36" s="52">
        <v>50</v>
      </c>
    </row>
    <row r="37" spans="1:11" x14ac:dyDescent="0.25">
      <c r="A37" s="51">
        <v>126</v>
      </c>
      <c r="B37" s="52" t="s">
        <v>166</v>
      </c>
      <c r="C37" s="52" t="s">
        <v>167</v>
      </c>
      <c r="D37" s="52" t="s">
        <v>168</v>
      </c>
      <c r="E37" s="52" t="s">
        <v>169</v>
      </c>
      <c r="F37" s="53">
        <v>38988</v>
      </c>
      <c r="G37" s="52" t="s">
        <v>165</v>
      </c>
      <c r="H37" s="52">
        <v>2700</v>
      </c>
      <c r="I37" s="52" t="s">
        <v>15</v>
      </c>
      <c r="J37" s="52">
        <v>120</v>
      </c>
      <c r="K37" s="52">
        <v>50</v>
      </c>
    </row>
    <row r="38" spans="1:11" x14ac:dyDescent="0.25">
      <c r="A38" s="51">
        <v>127</v>
      </c>
      <c r="B38" s="52" t="s">
        <v>170</v>
      </c>
      <c r="C38" s="52" t="s">
        <v>171</v>
      </c>
      <c r="D38" s="52" t="s">
        <v>172</v>
      </c>
      <c r="E38" s="52" t="s">
        <v>173</v>
      </c>
      <c r="F38" s="53">
        <v>39096</v>
      </c>
      <c r="G38" s="52" t="s">
        <v>165</v>
      </c>
      <c r="H38" s="52">
        <v>2400</v>
      </c>
      <c r="I38" s="52" t="s">
        <v>15</v>
      </c>
      <c r="J38" s="52">
        <v>120</v>
      </c>
      <c r="K38" s="52">
        <v>50</v>
      </c>
    </row>
    <row r="39" spans="1:11" x14ac:dyDescent="0.25">
      <c r="A39" s="51">
        <v>128</v>
      </c>
      <c r="B39" s="52" t="s">
        <v>54</v>
      </c>
      <c r="C39" s="52" t="s">
        <v>174</v>
      </c>
      <c r="D39" s="52" t="s">
        <v>175</v>
      </c>
      <c r="E39" s="52" t="s">
        <v>176</v>
      </c>
      <c r="F39" s="53">
        <v>39515</v>
      </c>
      <c r="G39" s="52" t="s">
        <v>165</v>
      </c>
      <c r="H39" s="52">
        <v>2200</v>
      </c>
      <c r="I39" s="52" t="s">
        <v>15</v>
      </c>
      <c r="J39" s="52">
        <v>120</v>
      </c>
      <c r="K39" s="52">
        <v>50</v>
      </c>
    </row>
    <row r="40" spans="1:11" x14ac:dyDescent="0.25">
      <c r="A40" s="51">
        <v>129</v>
      </c>
      <c r="B40" s="52" t="s">
        <v>177</v>
      </c>
      <c r="C40" s="52" t="s">
        <v>178</v>
      </c>
      <c r="D40" s="52" t="s">
        <v>179</v>
      </c>
      <c r="E40" s="52" t="s">
        <v>180</v>
      </c>
      <c r="F40" s="53">
        <v>38584</v>
      </c>
      <c r="G40" s="52" t="s">
        <v>165</v>
      </c>
      <c r="H40" s="52">
        <v>3300</v>
      </c>
      <c r="I40" s="52" t="s">
        <v>15</v>
      </c>
      <c r="J40" s="52">
        <v>121</v>
      </c>
      <c r="K40" s="52">
        <v>50</v>
      </c>
    </row>
    <row r="41" spans="1:11" x14ac:dyDescent="0.25">
      <c r="A41" s="51">
        <v>130</v>
      </c>
      <c r="B41" s="52" t="s">
        <v>181</v>
      </c>
      <c r="C41" s="52" t="s">
        <v>182</v>
      </c>
      <c r="D41" s="52" t="s">
        <v>183</v>
      </c>
      <c r="E41" s="52" t="s">
        <v>184</v>
      </c>
      <c r="F41" s="53">
        <v>38655</v>
      </c>
      <c r="G41" s="52" t="s">
        <v>165</v>
      </c>
      <c r="H41" s="52">
        <v>2800</v>
      </c>
      <c r="I41" s="52" t="s">
        <v>15</v>
      </c>
      <c r="J41" s="52">
        <v>121</v>
      </c>
      <c r="K41" s="52">
        <v>50</v>
      </c>
    </row>
    <row r="42" spans="1:11" x14ac:dyDescent="0.25">
      <c r="A42" s="51">
        <v>131</v>
      </c>
      <c r="B42" s="52" t="s">
        <v>170</v>
      </c>
      <c r="C42" s="52" t="s">
        <v>185</v>
      </c>
      <c r="D42" s="52" t="s">
        <v>186</v>
      </c>
      <c r="E42" s="52" t="s">
        <v>187</v>
      </c>
      <c r="F42" s="53">
        <v>38399</v>
      </c>
      <c r="G42" s="52" t="s">
        <v>165</v>
      </c>
      <c r="H42" s="52">
        <v>2500</v>
      </c>
      <c r="I42" s="52" t="s">
        <v>15</v>
      </c>
      <c r="J42" s="52">
        <v>121</v>
      </c>
      <c r="K42" s="52">
        <v>50</v>
      </c>
    </row>
    <row r="43" spans="1:11" x14ac:dyDescent="0.25">
      <c r="A43" s="51">
        <v>132</v>
      </c>
      <c r="B43" s="52" t="s">
        <v>188</v>
      </c>
      <c r="C43" s="52" t="s">
        <v>189</v>
      </c>
      <c r="D43" s="52" t="s">
        <v>190</v>
      </c>
      <c r="E43" s="52" t="s">
        <v>191</v>
      </c>
      <c r="F43" s="53">
        <v>39182</v>
      </c>
      <c r="G43" s="52" t="s">
        <v>165</v>
      </c>
      <c r="H43" s="52">
        <v>2100</v>
      </c>
      <c r="I43" s="52" t="s">
        <v>15</v>
      </c>
      <c r="J43" s="52">
        <v>121</v>
      </c>
      <c r="K43" s="52">
        <v>50</v>
      </c>
    </row>
    <row r="44" spans="1:11" x14ac:dyDescent="0.25">
      <c r="A44" s="51">
        <v>133</v>
      </c>
      <c r="B44" s="52" t="s">
        <v>192</v>
      </c>
      <c r="C44" s="52" t="s">
        <v>193</v>
      </c>
      <c r="D44" s="52" t="s">
        <v>194</v>
      </c>
      <c r="E44" s="52" t="s">
        <v>195</v>
      </c>
      <c r="F44" s="53">
        <v>38152</v>
      </c>
      <c r="G44" s="52" t="s">
        <v>165</v>
      </c>
      <c r="H44" s="52">
        <v>3300</v>
      </c>
      <c r="I44" s="52" t="s">
        <v>15</v>
      </c>
      <c r="J44" s="52">
        <v>122</v>
      </c>
      <c r="K44" s="52">
        <v>50</v>
      </c>
    </row>
    <row r="45" spans="1:11" x14ac:dyDescent="0.25">
      <c r="A45" s="51">
        <v>134</v>
      </c>
      <c r="B45" s="52" t="s">
        <v>24</v>
      </c>
      <c r="C45" s="52" t="s">
        <v>196</v>
      </c>
      <c r="D45" s="52" t="s">
        <v>197</v>
      </c>
      <c r="E45" s="52" t="s">
        <v>198</v>
      </c>
      <c r="F45" s="53">
        <v>38955</v>
      </c>
      <c r="G45" s="52" t="s">
        <v>165</v>
      </c>
      <c r="H45" s="52">
        <v>2900</v>
      </c>
      <c r="I45" s="52" t="s">
        <v>15</v>
      </c>
      <c r="J45" s="52">
        <v>122</v>
      </c>
      <c r="K45" s="52">
        <v>50</v>
      </c>
    </row>
    <row r="46" spans="1:11" x14ac:dyDescent="0.25">
      <c r="A46" s="51">
        <v>135</v>
      </c>
      <c r="B46" s="52" t="s">
        <v>199</v>
      </c>
      <c r="C46" s="52" t="s">
        <v>200</v>
      </c>
      <c r="D46" s="52" t="s">
        <v>201</v>
      </c>
      <c r="E46" s="52" t="s">
        <v>202</v>
      </c>
      <c r="F46" s="53">
        <v>39428</v>
      </c>
      <c r="G46" s="52" t="s">
        <v>165</v>
      </c>
      <c r="H46" s="52">
        <v>2400</v>
      </c>
      <c r="I46" s="52" t="s">
        <v>15</v>
      </c>
      <c r="J46" s="52">
        <v>122</v>
      </c>
      <c r="K46" s="52">
        <v>50</v>
      </c>
    </row>
    <row r="47" spans="1:11" x14ac:dyDescent="0.25">
      <c r="A47" s="51">
        <v>136</v>
      </c>
      <c r="B47" s="52" t="s">
        <v>203</v>
      </c>
      <c r="C47" s="52" t="s">
        <v>204</v>
      </c>
      <c r="D47" s="52" t="s">
        <v>205</v>
      </c>
      <c r="E47" s="52" t="s">
        <v>206</v>
      </c>
      <c r="F47" s="53">
        <v>39484</v>
      </c>
      <c r="G47" s="52" t="s">
        <v>165</v>
      </c>
      <c r="H47" s="52">
        <v>2200</v>
      </c>
      <c r="I47" s="52" t="s">
        <v>15</v>
      </c>
      <c r="J47" s="52">
        <v>122</v>
      </c>
      <c r="K47" s="52">
        <v>50</v>
      </c>
    </row>
    <row r="48" spans="1:11" x14ac:dyDescent="0.25">
      <c r="A48" s="51">
        <v>137</v>
      </c>
      <c r="B48" s="52" t="s">
        <v>207</v>
      </c>
      <c r="C48" s="52" t="s">
        <v>208</v>
      </c>
      <c r="D48" s="52" t="s">
        <v>209</v>
      </c>
      <c r="E48" s="52" t="s">
        <v>210</v>
      </c>
      <c r="F48" s="53">
        <v>37816</v>
      </c>
      <c r="G48" s="52" t="s">
        <v>165</v>
      </c>
      <c r="H48" s="52">
        <v>3600</v>
      </c>
      <c r="I48" s="52" t="s">
        <v>15</v>
      </c>
      <c r="J48" s="52">
        <v>123</v>
      </c>
      <c r="K48" s="52">
        <v>50</v>
      </c>
    </row>
    <row r="49" spans="1:11" x14ac:dyDescent="0.25">
      <c r="A49" s="51">
        <v>138</v>
      </c>
      <c r="B49" s="52" t="s">
        <v>211</v>
      </c>
      <c r="C49" s="52" t="s">
        <v>212</v>
      </c>
      <c r="D49" s="52" t="s">
        <v>213</v>
      </c>
      <c r="E49" s="52" t="s">
        <v>214</v>
      </c>
      <c r="F49" s="53">
        <v>38651</v>
      </c>
      <c r="G49" s="52" t="s">
        <v>165</v>
      </c>
      <c r="H49" s="52">
        <v>3200</v>
      </c>
      <c r="I49" s="52" t="s">
        <v>15</v>
      </c>
      <c r="J49" s="52">
        <v>123</v>
      </c>
      <c r="K49" s="52">
        <v>50</v>
      </c>
    </row>
    <row r="50" spans="1:11" x14ac:dyDescent="0.25">
      <c r="A50" s="51">
        <v>139</v>
      </c>
      <c r="B50" s="52" t="s">
        <v>99</v>
      </c>
      <c r="C50" s="52" t="s">
        <v>215</v>
      </c>
      <c r="D50" s="52" t="s">
        <v>216</v>
      </c>
      <c r="E50" s="52" t="s">
        <v>217</v>
      </c>
      <c r="F50" s="53">
        <v>38760</v>
      </c>
      <c r="G50" s="52" t="s">
        <v>165</v>
      </c>
      <c r="H50" s="52">
        <v>2700</v>
      </c>
      <c r="I50" s="52" t="s">
        <v>15</v>
      </c>
      <c r="J50" s="52">
        <v>123</v>
      </c>
      <c r="K50" s="52">
        <v>50</v>
      </c>
    </row>
    <row r="51" spans="1:11" x14ac:dyDescent="0.25">
      <c r="A51" s="51">
        <v>140</v>
      </c>
      <c r="B51" s="52" t="s">
        <v>218</v>
      </c>
      <c r="C51" s="52" t="s">
        <v>219</v>
      </c>
      <c r="D51" s="52" t="s">
        <v>220</v>
      </c>
      <c r="E51" s="52" t="s">
        <v>221</v>
      </c>
      <c r="F51" s="53">
        <v>38813</v>
      </c>
      <c r="G51" s="52" t="s">
        <v>165</v>
      </c>
      <c r="H51" s="52">
        <v>2500</v>
      </c>
      <c r="I51" s="52" t="s">
        <v>15</v>
      </c>
      <c r="J51" s="52">
        <v>123</v>
      </c>
      <c r="K51" s="52">
        <v>50</v>
      </c>
    </row>
  </sheetData>
  <customSheetViews>
    <customSheetView guid="{17B4BC62-A64E-4181-AF33-17F939339C15}" topLeftCell="D1">
      <selection activeCell="K6" sqref="K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9"/>
  <sheetViews>
    <sheetView tabSelected="1" workbookViewId="0">
      <selection activeCell="I19" sqref="I19"/>
    </sheetView>
  </sheetViews>
  <sheetFormatPr defaultRowHeight="15" x14ac:dyDescent="0.25"/>
  <cols>
    <col min="2" max="2" width="13.5703125" bestFit="1" customWidth="1"/>
  </cols>
  <sheetData>
    <row r="1" spans="1:6" x14ac:dyDescent="0.25">
      <c r="A1" t="s">
        <v>484</v>
      </c>
      <c r="B1" t="s">
        <v>485</v>
      </c>
    </row>
    <row r="2" spans="1:6" x14ac:dyDescent="0.25">
      <c r="A2" t="s">
        <v>352</v>
      </c>
      <c r="B2">
        <v>86</v>
      </c>
      <c r="D2">
        <f>COUNTIF(A2:A5,"Apple")</f>
        <v>1</v>
      </c>
      <c r="F2">
        <f>COUNTIFS(A2:A5,"Apple",B2:B5,"&gt;40")</f>
        <v>1</v>
      </c>
    </row>
    <row r="3" spans="1:6" x14ac:dyDescent="0.25">
      <c r="A3" t="s">
        <v>482</v>
      </c>
      <c r="B3">
        <v>54</v>
      </c>
      <c r="D3">
        <f>COUNTIF(B2:B5,"&gt;55")</f>
        <v>2</v>
      </c>
    </row>
    <row r="4" spans="1:6" x14ac:dyDescent="0.25">
      <c r="A4" t="s">
        <v>483</v>
      </c>
      <c r="B4">
        <v>75</v>
      </c>
      <c r="D4">
        <f>AVERAGE(B2:B5)</f>
        <v>61.75</v>
      </c>
    </row>
    <row r="5" spans="1:6" x14ac:dyDescent="0.25">
      <c r="A5" t="s">
        <v>482</v>
      </c>
      <c r="B5">
        <v>32</v>
      </c>
      <c r="D5">
        <f>AVERAGEA(B2:B5)</f>
        <v>61.75</v>
      </c>
    </row>
    <row r="8" spans="1:6" x14ac:dyDescent="0.25">
      <c r="F8" s="18"/>
    </row>
    <row r="9" spans="1:6" x14ac:dyDescent="0.25">
      <c r="F9" s="18"/>
    </row>
  </sheetData>
  <customSheetViews>
    <customSheetView guid="{17B4BC62-A64E-4181-AF33-17F939339C15}">
      <selection activeCell="D4" sqref="D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42AF-25E6-492C-9EC4-03D956EE73D2}">
  <dimension ref="A1:AD20"/>
  <sheetViews>
    <sheetView tabSelected="1" zoomScale="93" workbookViewId="0">
      <selection activeCell="I19" sqref="I19"/>
    </sheetView>
  </sheetViews>
  <sheetFormatPr defaultRowHeight="15" x14ac:dyDescent="0.25"/>
  <sheetData>
    <row r="1" spans="1:3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</row>
    <row r="2" spans="1:30" x14ac:dyDescent="0.25">
      <c r="A2" t="s">
        <v>486</v>
      </c>
      <c r="B2" t="s">
        <v>487</v>
      </c>
      <c r="C2" t="s">
        <v>488</v>
      </c>
      <c r="D2" t="s">
        <v>489</v>
      </c>
      <c r="E2" t="s">
        <v>490</v>
      </c>
      <c r="F2" t="s">
        <v>491</v>
      </c>
      <c r="G2" t="s">
        <v>492</v>
      </c>
      <c r="H2" t="s">
        <v>486</v>
      </c>
      <c r="I2" t="s">
        <v>487</v>
      </c>
      <c r="J2" t="s">
        <v>488</v>
      </c>
      <c r="K2" t="s">
        <v>489</v>
      </c>
      <c r="L2" t="s">
        <v>490</v>
      </c>
      <c r="M2" t="s">
        <v>491</v>
      </c>
      <c r="N2" t="s">
        <v>492</v>
      </c>
      <c r="O2" t="s">
        <v>486</v>
      </c>
      <c r="P2" t="s">
        <v>487</v>
      </c>
      <c r="Q2" t="s">
        <v>488</v>
      </c>
      <c r="R2" t="s">
        <v>489</v>
      </c>
      <c r="S2" t="s">
        <v>490</v>
      </c>
      <c r="T2" t="s">
        <v>491</v>
      </c>
      <c r="U2" t="s">
        <v>492</v>
      </c>
      <c r="V2" t="s">
        <v>486</v>
      </c>
      <c r="W2" t="s">
        <v>487</v>
      </c>
      <c r="X2" t="s">
        <v>488</v>
      </c>
      <c r="Y2" t="s">
        <v>489</v>
      </c>
      <c r="Z2" t="s">
        <v>490</v>
      </c>
      <c r="AA2" t="s">
        <v>491</v>
      </c>
      <c r="AB2" t="s">
        <v>492</v>
      </c>
      <c r="AC2" t="s">
        <v>486</v>
      </c>
      <c r="AD2" t="s">
        <v>487</v>
      </c>
    </row>
    <row r="3" spans="1:30" x14ac:dyDescent="0.25">
      <c r="A3" s="6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 s="6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  <c r="O3" s="6">
        <v>15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 s="6">
        <v>22</v>
      </c>
      <c r="W3">
        <v>23</v>
      </c>
      <c r="X3">
        <v>24</v>
      </c>
      <c r="Y3">
        <v>25</v>
      </c>
      <c r="Z3">
        <v>26</v>
      </c>
      <c r="AA3">
        <v>27</v>
      </c>
      <c r="AB3">
        <v>28</v>
      </c>
      <c r="AC3" s="6">
        <v>29</v>
      </c>
      <c r="AD3">
        <v>30</v>
      </c>
    </row>
    <row r="4" spans="1:30" x14ac:dyDescent="0.25">
      <c r="A4" s="6">
        <f>SUMIFS(A3:AD3,A2:AD2,"MONDAY")</f>
        <v>75</v>
      </c>
      <c r="B4" s="6">
        <f>SUMIFS(B3:AE3,B2:AE2,"TUESDAY")</f>
        <v>80</v>
      </c>
      <c r="C4" s="6">
        <f t="shared" ref="C4:AD4" si="0">SUMIFS(C3:AF3,C2:AF2,"MONDAY",C2:AF2,"TUESDAY",C2:AF2,"WEDNESDAY",C2:AF2,"THURSDAY",C2:AF2,"FRIDAY",C2:AF2,"SATURDAY")</f>
        <v>0</v>
      </c>
      <c r="D4" s="6">
        <f t="shared" si="0"/>
        <v>0</v>
      </c>
      <c r="E4" s="6">
        <f t="shared" si="0"/>
        <v>0</v>
      </c>
      <c r="F4" s="6">
        <f t="shared" si="0"/>
        <v>0</v>
      </c>
      <c r="G4" s="6">
        <f t="shared" si="0"/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 t="shared" si="0"/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f t="shared" si="0"/>
        <v>0</v>
      </c>
    </row>
    <row r="5" spans="1:30" x14ac:dyDescent="0.25">
      <c r="A5">
        <f>SUMIF(A2:AD2, "MONDAY", A3:AD3)</f>
        <v>75</v>
      </c>
    </row>
    <row r="6" spans="1:30" x14ac:dyDescent="0.25">
      <c r="A6">
        <f>COUNTIF(A2:AD2, "MONDAY")</f>
        <v>5</v>
      </c>
    </row>
    <row r="7" spans="1:30" x14ac:dyDescent="0.25">
      <c r="A7">
        <f>SUMPRODUCT(((A2:AD2="MONDAY") + (A2:AD2="TUESDAY") + (A2:AD2="WEDNESDAY") + (A2:AD2="THURSDAY") + (A2:AD2="FRIDAY") + (A2:AD2="SATURDAY")) * A3:AD3)</f>
        <v>395</v>
      </c>
    </row>
    <row r="8" spans="1:30" x14ac:dyDescent="0.25">
      <c r="A8">
        <f>SUM(_xlfn._xlws.FILTER(A3:AD3, A2:AD2&lt;&gt;"SUNDAY"))</f>
        <v>395</v>
      </c>
    </row>
    <row r="9" spans="1:30" x14ac:dyDescent="0.25">
      <c r="A9">
        <f>COUNTIF(A2:AD2,"MONDAY")</f>
        <v>5</v>
      </c>
      <c r="C9" t="s">
        <v>300</v>
      </c>
      <c r="D9">
        <v>10</v>
      </c>
    </row>
    <row r="10" spans="1:30" x14ac:dyDescent="0.25">
      <c r="C10" t="s">
        <v>301</v>
      </c>
      <c r="D10">
        <v>11</v>
      </c>
    </row>
    <row r="11" spans="1:30" x14ac:dyDescent="0.25">
      <c r="C11" t="s">
        <v>302</v>
      </c>
      <c r="D11">
        <v>12</v>
      </c>
    </row>
    <row r="12" spans="1:30" x14ac:dyDescent="0.25">
      <c r="C12" t="s">
        <v>303</v>
      </c>
      <c r="D12">
        <v>13</v>
      </c>
    </row>
    <row r="13" spans="1:30" x14ac:dyDescent="0.25">
      <c r="C13" t="s">
        <v>304</v>
      </c>
      <c r="D13">
        <v>14</v>
      </c>
    </row>
    <row r="14" spans="1:30" x14ac:dyDescent="0.25">
      <c r="C14" t="s">
        <v>300</v>
      </c>
      <c r="D14">
        <v>10</v>
      </c>
    </row>
    <row r="15" spans="1:30" x14ac:dyDescent="0.25">
      <c r="C15" t="s">
        <v>301</v>
      </c>
      <c r="D15">
        <v>11</v>
      </c>
    </row>
    <row r="16" spans="1:30" x14ac:dyDescent="0.25">
      <c r="C16" t="s">
        <v>302</v>
      </c>
      <c r="D16">
        <v>12</v>
      </c>
    </row>
    <row r="17" spans="3:4" x14ac:dyDescent="0.25">
      <c r="C17" t="s">
        <v>303</v>
      </c>
      <c r="D17">
        <v>13</v>
      </c>
    </row>
    <row r="18" spans="3:4" x14ac:dyDescent="0.25">
      <c r="C18" t="s">
        <v>304</v>
      </c>
      <c r="D18">
        <v>14</v>
      </c>
    </row>
    <row r="19" spans="3:4" x14ac:dyDescent="0.25">
      <c r="C19">
        <f>COUNTIF(C9:C18,"A")</f>
        <v>2</v>
      </c>
    </row>
    <row r="20" spans="3:4" x14ac:dyDescent="0.25">
      <c r="C20">
        <f>COUNTIFS(C9:C18,"E",D9:D18,"&gt;10")</f>
        <v>2</v>
      </c>
    </row>
  </sheetData>
  <customSheetViews>
    <customSheetView guid="{17B4BC62-A64E-4181-AF33-17F939339C15}" scale="93">
      <selection activeCell="A9" sqref="A9"/>
      <pageMargins left="0.7" right="0.7" top="0.75" bottom="0.75" header="0.3" footer="0.3"/>
    </customSheetView>
  </customSheetViews>
  <phoneticPr fontId="2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ACB8-BA42-423F-9EFC-56D274A333B4}">
  <dimension ref="A1:O16"/>
  <sheetViews>
    <sheetView tabSelected="1" workbookViewId="0">
      <selection activeCell="I19" sqref="I19"/>
    </sheetView>
  </sheetViews>
  <sheetFormatPr defaultRowHeight="15" x14ac:dyDescent="0.25"/>
  <sheetData>
    <row r="1" spans="1:15" x14ac:dyDescent="0.25">
      <c r="A1" t="s">
        <v>493</v>
      </c>
      <c r="B1" t="s">
        <v>367</v>
      </c>
      <c r="C1" t="s">
        <v>494</v>
      </c>
      <c r="D1" t="s">
        <v>366</v>
      </c>
      <c r="E1" t="s">
        <v>223</v>
      </c>
      <c r="H1" t="s">
        <v>502</v>
      </c>
      <c r="I1" t="s">
        <v>503</v>
      </c>
    </row>
    <row r="2" spans="1:15" x14ac:dyDescent="0.25">
      <c r="A2" t="s">
        <v>495</v>
      </c>
      <c r="B2" s="21">
        <v>91</v>
      </c>
      <c r="C2" s="21">
        <v>100</v>
      </c>
      <c r="D2" s="21">
        <v>96</v>
      </c>
      <c r="E2" s="54">
        <f>AVERAGE(B2:D2)</f>
        <v>95.666666666666671</v>
      </c>
      <c r="H2" t="s">
        <v>353</v>
      </c>
      <c r="I2">
        <v>250</v>
      </c>
      <c r="K2" t="s">
        <v>502</v>
      </c>
      <c r="L2" t="s">
        <v>503</v>
      </c>
      <c r="O2" t="str">
        <f>_xlfn.UNIQUE(H2:H8)</f>
        <v>apple</v>
      </c>
    </row>
    <row r="3" spans="1:15" x14ac:dyDescent="0.25">
      <c r="A3" t="s">
        <v>496</v>
      </c>
      <c r="B3" s="21">
        <v>95</v>
      </c>
      <c r="C3" s="21">
        <v>93</v>
      </c>
      <c r="D3" s="21">
        <v>90</v>
      </c>
      <c r="E3" s="54">
        <f t="shared" ref="E3:E6" si="0">AVERAGE(B3:D3)</f>
        <v>92.666666666666671</v>
      </c>
      <c r="H3" t="s">
        <v>504</v>
      </c>
      <c r="I3">
        <v>350</v>
      </c>
      <c r="K3" t="s">
        <v>353</v>
      </c>
      <c r="L3">
        <f>VLOOKUP(K3, H1:I6, 2, FALSE)</f>
        <v>250</v>
      </c>
      <c r="M3">
        <f>VLOOKUP(K3,H2:I6,2,0)</f>
        <v>250</v>
      </c>
      <c r="O3" t="str">
        <f t="shared" ref="O3:O6" si="1">_xlfn.UNIQUE(H3:H9)</f>
        <v>cherry</v>
      </c>
    </row>
    <row r="4" spans="1:15" x14ac:dyDescent="0.25">
      <c r="A4" t="s">
        <v>497</v>
      </c>
      <c r="B4" s="21">
        <v>91</v>
      </c>
      <c r="C4" s="21">
        <v>95</v>
      </c>
      <c r="D4" s="21">
        <v>92</v>
      </c>
      <c r="E4" s="54">
        <f t="shared" si="0"/>
        <v>92.666666666666671</v>
      </c>
      <c r="H4" t="s">
        <v>505</v>
      </c>
      <c r="I4">
        <v>50</v>
      </c>
      <c r="O4" t="str">
        <f t="shared" si="1"/>
        <v>banana</v>
      </c>
    </row>
    <row r="5" spans="1:15" x14ac:dyDescent="0.25">
      <c r="A5" t="s">
        <v>498</v>
      </c>
      <c r="B5" s="21">
        <v>71</v>
      </c>
      <c r="C5" s="21">
        <v>89</v>
      </c>
      <c r="D5" s="21">
        <v>64</v>
      </c>
      <c r="E5" s="54">
        <f t="shared" si="0"/>
        <v>74.666666666666671</v>
      </c>
      <c r="H5" t="s">
        <v>506</v>
      </c>
      <c r="I5">
        <v>200</v>
      </c>
      <c r="O5" t="str">
        <f t="shared" si="1"/>
        <v>grapes</v>
      </c>
    </row>
    <row r="6" spans="1:15" x14ac:dyDescent="0.25">
      <c r="A6" t="s">
        <v>499</v>
      </c>
      <c r="B6" s="21">
        <v>64</v>
      </c>
      <c r="C6" s="21">
        <v>77</v>
      </c>
      <c r="D6" s="21">
        <v>90</v>
      </c>
      <c r="E6" s="54">
        <f t="shared" si="0"/>
        <v>77</v>
      </c>
      <c r="H6" t="s">
        <v>507</v>
      </c>
      <c r="I6">
        <v>150</v>
      </c>
      <c r="O6" t="str">
        <f t="shared" si="1"/>
        <v>mango</v>
      </c>
    </row>
    <row r="7" spans="1:15" x14ac:dyDescent="0.25">
      <c r="A7" t="s">
        <v>500</v>
      </c>
      <c r="B7">
        <f>SUM(B2:B6)</f>
        <v>412</v>
      </c>
      <c r="C7">
        <f t="shared" ref="C7:E7" si="2">SUM(C2:C6)</f>
        <v>454</v>
      </c>
      <c r="D7">
        <f t="shared" si="2"/>
        <v>432</v>
      </c>
      <c r="E7">
        <f t="shared" si="2"/>
        <v>432.66666666666669</v>
      </c>
      <c r="H7" t="s">
        <v>507</v>
      </c>
    </row>
    <row r="8" spans="1:15" x14ac:dyDescent="0.25">
      <c r="H8" t="s">
        <v>353</v>
      </c>
    </row>
    <row r="11" spans="1:15" x14ac:dyDescent="0.25">
      <c r="A11" t="s">
        <v>493</v>
      </c>
      <c r="B11" t="s">
        <v>446</v>
      </c>
      <c r="C11" t="s">
        <v>501</v>
      </c>
    </row>
    <row r="12" spans="1:15" x14ac:dyDescent="0.25">
      <c r="A12" t="s">
        <v>495</v>
      </c>
      <c r="B12">
        <v>91</v>
      </c>
      <c r="C12" t="str">
        <f>IF(B12&gt;=90,"A",IF(B12&gt;=80,"B",IF(B12&gt;=70,"C","D")))</f>
        <v>A</v>
      </c>
    </row>
    <row r="13" spans="1:15" x14ac:dyDescent="0.25">
      <c r="A13" t="s">
        <v>496</v>
      </c>
      <c r="B13">
        <v>95</v>
      </c>
      <c r="C13" t="str">
        <f t="shared" ref="C13:C16" si="3">IF(B13&gt;=90,"A",IF(B13&gt;=80,"B",IF(B13&gt;=70,"C","D")))</f>
        <v>A</v>
      </c>
    </row>
    <row r="14" spans="1:15" x14ac:dyDescent="0.25">
      <c r="A14" t="s">
        <v>497</v>
      </c>
      <c r="B14">
        <v>89</v>
      </c>
      <c r="C14" t="str">
        <f t="shared" si="3"/>
        <v>B</v>
      </c>
    </row>
    <row r="15" spans="1:15" x14ac:dyDescent="0.25">
      <c r="A15" t="s">
        <v>498</v>
      </c>
      <c r="B15">
        <v>64</v>
      </c>
      <c r="C15" t="str">
        <f t="shared" si="3"/>
        <v>D</v>
      </c>
    </row>
    <row r="16" spans="1:15" x14ac:dyDescent="0.25">
      <c r="A16" t="s">
        <v>499</v>
      </c>
      <c r="B16">
        <v>77</v>
      </c>
      <c r="C16" t="str">
        <f t="shared" si="3"/>
        <v>C</v>
      </c>
    </row>
  </sheetData>
  <customSheetViews>
    <customSheetView guid="{17B4BC62-A64E-4181-AF33-17F939339C15}">
      <selection activeCell="H15" sqref="H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employees</vt:lpstr>
      <vt:lpstr>COREL</vt:lpstr>
      <vt:lpstr>Module2</vt:lpstr>
      <vt:lpstr>Index &amp; Match</vt:lpstr>
      <vt:lpstr>Module3</vt:lpstr>
      <vt:lpstr>Offset</vt:lpstr>
      <vt:lpstr>Scenario Summary</vt:lpstr>
      <vt:lpstr>Module4</vt:lpstr>
      <vt:lpstr>Sheet1</vt:lpstr>
      <vt:lpstr>Practice</vt:lpstr>
      <vt:lpstr>Sheet2</vt:lpstr>
      <vt:lpstr>Sheet3</vt:lpstr>
      <vt:lpstr>Dataset</vt:lpstr>
      <vt:lpstr>Maths</vt:lpstr>
      <vt:lpstr>Students_Name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Hari Gupta</cp:lastModifiedBy>
  <dcterms:created xsi:type="dcterms:W3CDTF">2024-03-01T17:25:00Z</dcterms:created>
  <dcterms:modified xsi:type="dcterms:W3CDTF">2025-06-27T19:43:08Z</dcterms:modified>
</cp:coreProperties>
</file>